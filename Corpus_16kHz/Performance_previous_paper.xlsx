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clipseWorkspaces\workspacePrivate\NINASpeechCommunicationAnalyser\"/>
    </mc:Choice>
  </mc:AlternateContent>
  <xr:revisionPtr revIDLastSave="0" documentId="13_ncr:1_{989360C4-3CCD-4BD8-9D29-97C128C31114}" xr6:coauthVersionLast="47" xr6:coauthVersionMax="47" xr10:uidLastSave="{00000000-0000-0000-0000-000000000000}"/>
  <bookViews>
    <workbookView xWindow="384" yWindow="384" windowWidth="17280" windowHeight="8964" tabRatio="787" activeTab="1" xr2:uid="{00000000-000D-0000-FFFF-FFFF00000000}"/>
  </bookViews>
  <sheets>
    <sheet name="Optimal Parameters Search" sheetId="2" r:id="rId1"/>
    <sheet name="Performance per test set" sheetId="3" r:id="rId2"/>
    <sheet name="Google Performance" sheetId="7" r:id="rId3"/>
    <sheet name="Corr of Performance with SNR" sheetId="4" r:id="rId4"/>
    <sheet name="Words coverage in comments" sheetId="5" r:id="rId5"/>
    <sheet name="Most imp. words in ineff. comm.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Z2" i="2" l="1"/>
  <c r="AB2" i="2" s="1"/>
  <c r="AA2" i="2" l="1"/>
  <c r="F3" i="7"/>
  <c r="C9" i="6" l="1"/>
  <c r="C10" i="6"/>
  <c r="C17" i="6"/>
  <c r="C18" i="6"/>
  <c r="C25" i="6"/>
  <c r="C26" i="6"/>
  <c r="C33" i="6"/>
  <c r="C34" i="6"/>
  <c r="C41" i="6"/>
  <c r="C42" i="6"/>
  <c r="C49" i="6"/>
  <c r="C50" i="6"/>
  <c r="C57" i="6"/>
  <c r="C58" i="6"/>
  <c r="C65" i="6"/>
  <c r="C66" i="6"/>
  <c r="C73" i="6"/>
  <c r="C74" i="6"/>
  <c r="C79" i="6"/>
  <c r="C81" i="6"/>
  <c r="C82" i="6"/>
  <c r="C87" i="6"/>
  <c r="C89" i="6"/>
  <c r="C90" i="6"/>
  <c r="C95" i="6"/>
  <c r="C97" i="6"/>
  <c r="C98" i="6"/>
  <c r="C103" i="6"/>
  <c r="C105" i="6"/>
  <c r="C106" i="6"/>
  <c r="C111" i="6"/>
  <c r="C112" i="6"/>
  <c r="C113" i="6"/>
  <c r="C114" i="6"/>
  <c r="C119" i="6"/>
  <c r="C120" i="6"/>
  <c r="C121" i="6"/>
  <c r="C122" i="6"/>
  <c r="C127" i="6"/>
  <c r="C128" i="6"/>
  <c r="C129" i="6"/>
  <c r="C130" i="6"/>
  <c r="B132" i="6"/>
  <c r="C3" i="6" s="1"/>
  <c r="C104" i="6" l="1"/>
  <c r="C96" i="6"/>
  <c r="C88" i="6"/>
  <c r="C80" i="6"/>
  <c r="C72" i="6"/>
  <c r="C64" i="6"/>
  <c r="C56" i="6"/>
  <c r="C48" i="6"/>
  <c r="C40" i="6"/>
  <c r="C32" i="6"/>
  <c r="C24" i="6"/>
  <c r="C16" i="6"/>
  <c r="C8" i="6"/>
  <c r="C71" i="6"/>
  <c r="C63" i="6"/>
  <c r="C55" i="6"/>
  <c r="C47" i="6"/>
  <c r="C39" i="6"/>
  <c r="C31" i="6"/>
  <c r="C23" i="6"/>
  <c r="C15" i="6"/>
  <c r="C7" i="6"/>
  <c r="C94" i="6"/>
  <c r="C62" i="6"/>
  <c r="C46" i="6"/>
  <c r="C38" i="6"/>
  <c r="C30" i="6"/>
  <c r="C22" i="6"/>
  <c r="C14" i="6"/>
  <c r="C6" i="6"/>
  <c r="C125" i="6"/>
  <c r="C117" i="6"/>
  <c r="C109" i="6"/>
  <c r="C101" i="6"/>
  <c r="C93" i="6"/>
  <c r="C85" i="6"/>
  <c r="C77" i="6"/>
  <c r="C69" i="6"/>
  <c r="C61" i="6"/>
  <c r="C53" i="6"/>
  <c r="C45" i="6"/>
  <c r="C37" i="6"/>
  <c r="C29" i="6"/>
  <c r="C21" i="6"/>
  <c r="C13" i="6"/>
  <c r="C5" i="6"/>
  <c r="C118" i="6"/>
  <c r="C102" i="6"/>
  <c r="C78" i="6"/>
  <c r="C54" i="6"/>
  <c r="C2" i="6"/>
  <c r="C124" i="6"/>
  <c r="C116" i="6"/>
  <c r="C108" i="6"/>
  <c r="C100" i="6"/>
  <c r="C92" i="6"/>
  <c r="C84" i="6"/>
  <c r="C76" i="6"/>
  <c r="C68" i="6"/>
  <c r="C60" i="6"/>
  <c r="C52" i="6"/>
  <c r="C44" i="6"/>
  <c r="C36" i="6"/>
  <c r="C28" i="6"/>
  <c r="C20" i="6"/>
  <c r="C12" i="6"/>
  <c r="C4" i="6"/>
  <c r="C126" i="6"/>
  <c r="C110" i="6"/>
  <c r="C86" i="6"/>
  <c r="C70" i="6"/>
  <c r="C131" i="6"/>
  <c r="C123" i="6"/>
  <c r="C115" i="6"/>
  <c r="C107" i="6"/>
  <c r="C99" i="6"/>
  <c r="C91" i="6"/>
  <c r="C83" i="6"/>
  <c r="C75" i="6"/>
  <c r="C67" i="6"/>
  <c r="C59" i="6"/>
  <c r="C51" i="6"/>
  <c r="C43" i="6"/>
  <c r="C35" i="6"/>
  <c r="C27" i="6"/>
  <c r="C19" i="6"/>
  <c r="C11" i="6"/>
</calcChain>
</file>

<file path=xl/sharedStrings.xml><?xml version="1.0" encoding="utf-8"?>
<sst xmlns="http://schemas.openxmlformats.org/spreadsheetml/2006/main" count="275" uniqueCount="246">
  <si>
    <t>pitch</t>
  </si>
  <si>
    <t>energy</t>
  </si>
  <si>
    <t>window</t>
  </si>
  <si>
    <t>nclusters</t>
  </si>
  <si>
    <t>n audio</t>
  </si>
  <si>
    <t>use questions</t>
  </si>
  <si>
    <t>f1</t>
  </si>
  <si>
    <t>accuracy</t>
  </si>
  <si>
    <t>recall</t>
  </si>
  <si>
    <t>precision</t>
  </si>
  <si>
    <t>F</t>
  </si>
  <si>
    <t>T</t>
  </si>
  <si>
    <t>Recall</t>
  </si>
  <si>
    <t>PS16</t>
  </si>
  <si>
    <t>PS3</t>
  </si>
  <si>
    <t>PS13</t>
  </si>
  <si>
    <t>PS1</t>
  </si>
  <si>
    <t>PS12</t>
  </si>
  <si>
    <t>PS5</t>
  </si>
  <si>
    <t>PS14</t>
  </si>
  <si>
    <t>PS15</t>
  </si>
  <si>
    <t>PS4</t>
  </si>
  <si>
    <t>PS7</t>
  </si>
  <si>
    <t>SNR</t>
  </si>
  <si>
    <t>Test</t>
  </si>
  <si>
    <t>Accuracy</t>
  </si>
  <si>
    <t>Precision</t>
  </si>
  <si>
    <t>F-Measure</t>
  </si>
  <si>
    <t>Min Accuracy</t>
  </si>
  <si>
    <t>Max Accuracy</t>
  </si>
  <si>
    <t>Min Recall</t>
  </si>
  <si>
    <t>Max Recall</t>
  </si>
  <si>
    <t>Min Precision</t>
  </si>
  <si>
    <t>Max Precision</t>
  </si>
  <si>
    <t>Min F1</t>
  </si>
  <si>
    <t>Max F1</t>
  </si>
  <si>
    <t>pupazzo</t>
  </si>
  <si>
    <t>aiuto</t>
  </si>
  <si>
    <t>fare</t>
  </si>
  <si>
    <t>pochino</t>
  </si>
  <si>
    <t>gruppo</t>
  </si>
  <si>
    <t>sistema</t>
  </si>
  <si>
    <t>ho</t>
  </si>
  <si>
    <t>terapia</t>
  </si>
  <si>
    <t>bracciale</t>
  </si>
  <si>
    <t>fai</t>
  </si>
  <si>
    <t>ascoli</t>
  </si>
  <si>
    <t>basta</t>
  </si>
  <si>
    <t>caso</t>
  </si>
  <si>
    <t>jam</t>
  </si>
  <si>
    <t>facendo</t>
  </si>
  <si>
    <t>facciamo</t>
  </si>
  <si>
    <t>sanno</t>
  </si>
  <si>
    <t>sono</t>
  </si>
  <si>
    <t>siamo</t>
  </si>
  <si>
    <t>quant</t>
  </si>
  <si>
    <t>ritirare</t>
  </si>
  <si>
    <t>passati</t>
  </si>
  <si>
    <t>carmine</t>
  </si>
  <si>
    <t>metterlo</t>
  </si>
  <si>
    <t>dimenticare</t>
  </si>
  <si>
    <t>mantenerli</t>
  </si>
  <si>
    <t>funzione</t>
  </si>
  <si>
    <t>pesa</t>
  </si>
  <si>
    <t>riesce</t>
  </si>
  <si>
    <t>vincere</t>
  </si>
  <si>
    <t>guarda</t>
  </si>
  <si>
    <t>stanno</t>
  </si>
  <si>
    <t>alfredo</t>
  </si>
  <si>
    <t>credo</t>
  </si>
  <si>
    <t>chiama</t>
  </si>
  <si>
    <t>smettere</t>
  </si>
  <si>
    <t>vedo</t>
  </si>
  <si>
    <t>saturimetro</t>
  </si>
  <si>
    <t>bisogna</t>
  </si>
  <si>
    <t>essere</t>
  </si>
  <si>
    <t>piange</t>
  </si>
  <si>
    <t>faccio</t>
  </si>
  <si>
    <t>nata</t>
  </si>
  <si>
    <t>senti</t>
  </si>
  <si>
    <t>andava</t>
  </si>
  <si>
    <t>dire</t>
  </si>
  <si>
    <t>leggo</t>
  </si>
  <si>
    <t>messo</t>
  </si>
  <si>
    <t>so</t>
  </si>
  <si>
    <t>voglia</t>
  </si>
  <si>
    <t>dare</t>
  </si>
  <si>
    <t>tirarlo</t>
  </si>
  <si>
    <t>tenerlo</t>
  </si>
  <si>
    <t>doccia</t>
  </si>
  <si>
    <t>ritirato</t>
  </si>
  <si>
    <t>accesa</t>
  </si>
  <si>
    <t>riscaldato</t>
  </si>
  <si>
    <t>prende</t>
  </si>
  <si>
    <t>giorno</t>
  </si>
  <si>
    <t>caldo</t>
  </si>
  <si>
    <t>favore</t>
  </si>
  <si>
    <t>raga</t>
  </si>
  <si>
    <t>dovuto</t>
  </si>
  <si>
    <t>bisogno</t>
  </si>
  <si>
    <t>metti</t>
  </si>
  <si>
    <t>mettila</t>
  </si>
  <si>
    <t>guardarlo</t>
  </si>
  <si>
    <t>ventilare</t>
  </si>
  <si>
    <t>materiale</t>
  </si>
  <si>
    <t>dice</t>
  </si>
  <si>
    <t>casino</t>
  </si>
  <si>
    <t>suga</t>
  </si>
  <si>
    <t>serve</t>
  </si>
  <si>
    <t>continuare</t>
  </si>
  <si>
    <t>hai</t>
  </si>
  <si>
    <t>situazione</t>
  </si>
  <si>
    <t>smettila</t>
  </si>
  <si>
    <t>abbiamo</t>
  </si>
  <si>
    <t>dimmi</t>
  </si>
  <si>
    <t>lasci</t>
  </si>
  <si>
    <t>chiamiamo</t>
  </si>
  <si>
    <t>fatto</t>
  </si>
  <si>
    <t>scrivi</t>
  </si>
  <si>
    <t>lasciamo</t>
  </si>
  <si>
    <t>saturazione</t>
  </si>
  <si>
    <t>dicono</t>
  </si>
  <si>
    <t>soccorso</t>
  </si>
  <si>
    <t>va</t>
  </si>
  <si>
    <t>voglio</t>
  </si>
  <si>
    <t>andiamo</t>
  </si>
  <si>
    <t>lascio</t>
  </si>
  <si>
    <t>finisci</t>
  </si>
  <si>
    <t>tubo</t>
  </si>
  <si>
    <t>studiamo</t>
  </si>
  <si>
    <t>illusione</t>
  </si>
  <si>
    <t>fa</t>
  </si>
  <si>
    <t>teniamo</t>
  </si>
  <si>
    <t>attivo</t>
  </si>
  <si>
    <t>prendere</t>
  </si>
  <si>
    <t>confessioni</t>
  </si>
  <si>
    <t>astrazione</t>
  </si>
  <si>
    <t>inizio</t>
  </si>
  <si>
    <t>adrenalina</t>
  </si>
  <si>
    <t>aspettiamo</t>
  </si>
  <si>
    <t>devo</t>
  </si>
  <si>
    <t>macchina</t>
  </si>
  <si>
    <t>sai</t>
  </si>
  <si>
    <t>arrivi</t>
  </si>
  <si>
    <t>ascolta</t>
  </si>
  <si>
    <t>lavo</t>
  </si>
  <si>
    <t>nando</t>
  </si>
  <si>
    <t>frequenza</t>
  </si>
  <si>
    <t>dobbiamo</t>
  </si>
  <si>
    <t>respira</t>
  </si>
  <si>
    <t>ricordo</t>
  </si>
  <si>
    <t>mantenere</t>
  </si>
  <si>
    <t>minuti</t>
  </si>
  <si>
    <t>vediamo</t>
  </si>
  <si>
    <t>segnale</t>
  </si>
  <si>
    <t>scende</t>
  </si>
  <si>
    <t>crepes</t>
  </si>
  <si>
    <t>vuoi</t>
  </si>
  <si>
    <t>pressione</t>
  </si>
  <si>
    <t>corsa</t>
  </si>
  <si>
    <t>aveva</t>
  </si>
  <si>
    <t>carlo</t>
  </si>
  <si>
    <t>passivo</t>
  </si>
  <si>
    <t>po</t>
  </si>
  <si>
    <t>Word</t>
  </si>
  <si>
    <t>Importance</t>
  </si>
  <si>
    <t>è</t>
  </si>
  <si>
    <t>vabbè</t>
  </si>
  <si>
    <t>Agreement</t>
  </si>
  <si>
    <t>Kappa</t>
  </si>
  <si>
    <t>Kappa Interp</t>
  </si>
  <si>
    <t>Marginal/Fair</t>
  </si>
  <si>
    <t>Good/Moderate</t>
  </si>
  <si>
    <t>Marginal/Slight</t>
  </si>
  <si>
    <t>Agreement Interpretation</t>
  </si>
  <si>
    <t>CORRELATION with SNR</t>
  </si>
  <si>
    <t>Words overlap with comments</t>
  </si>
  <si>
    <t>Comment: we search for the highest recall = tp/tp+fn to minimize uncaught uneffective dialogue segments</t>
  </si>
  <si>
    <t>% Importance</t>
  </si>
  <si>
    <t xml:space="preserve"> fare</t>
  </si>
  <si>
    <t xml:space="preserve"> ho</t>
  </si>
  <si>
    <t xml:space="preserve"> ventilare</t>
  </si>
  <si>
    <t xml:space="preserve"> dice</t>
  </si>
  <si>
    <t xml:space="preserve"> credo</t>
  </si>
  <si>
    <t xml:space="preserve"> serve</t>
  </si>
  <si>
    <t xml:space="preserve"> saturimetro</t>
  </si>
  <si>
    <t xml:space="preserve"> essere</t>
  </si>
  <si>
    <t xml:space="preserve"> inizio</t>
  </si>
  <si>
    <t xml:space="preserve"> adrenalina</t>
  </si>
  <si>
    <t xml:space="preserve"> hai</t>
  </si>
  <si>
    <t xml:space="preserve"> situazione</t>
  </si>
  <si>
    <t xml:space="preserve"> caso</t>
  </si>
  <si>
    <t xml:space="preserve"> devo</t>
  </si>
  <si>
    <t xml:space="preserve"> senti</t>
  </si>
  <si>
    <t xml:space="preserve"> dire</t>
  </si>
  <si>
    <t xml:space="preserve"> facendo</t>
  </si>
  <si>
    <t xml:space="preserve"> messo</t>
  </si>
  <si>
    <t xml:space="preserve"> sai</t>
  </si>
  <si>
    <t xml:space="preserve"> lasci</t>
  </si>
  <si>
    <t xml:space="preserve"> ascolta</t>
  </si>
  <si>
    <t xml:space="preserve"> so</t>
  </si>
  <si>
    <t xml:space="preserve"> lavo</t>
  </si>
  <si>
    <t xml:space="preserve"> facciamo</t>
  </si>
  <si>
    <t xml:space="preserve"> dare</t>
  </si>
  <si>
    <t xml:space="preserve"> fatto</t>
  </si>
  <si>
    <t xml:space="preserve"> ricordo</t>
  </si>
  <si>
    <t xml:space="preserve"> scende</t>
  </si>
  <si>
    <t xml:space="preserve"> sono</t>
  </si>
  <si>
    <t xml:space="preserve"> va</t>
  </si>
  <si>
    <t xml:space="preserve"> voglio</t>
  </si>
  <si>
    <t xml:space="preserve"> pressione</t>
  </si>
  <si>
    <t xml:space="preserve"> prende</t>
  </si>
  <si>
    <t xml:space="preserve"> tubo</t>
  </si>
  <si>
    <t xml:space="preserve"> favore</t>
  </si>
  <si>
    <t xml:space="preserve"> fa</t>
  </si>
  <si>
    <t xml:space="preserve"> metti</t>
  </si>
  <si>
    <t xml:space="preserve"> prendere</t>
  </si>
  <si>
    <t xml:space="preserve"> aiuto</t>
  </si>
  <si>
    <t>Common words</t>
  </si>
  <si>
    <t>Minimum Accuracy</t>
  </si>
  <si>
    <t>Maximum Accuracy</t>
  </si>
  <si>
    <t>Google Performance - Words Recognition</t>
  </si>
  <si>
    <t>Comment</t>
  </si>
  <si>
    <t>considering omissions as wrong recognitions</t>
  </si>
  <si>
    <t>considering just the recognized words</t>
  </si>
  <si>
    <t>omission</t>
  </si>
  <si>
    <t>probability of catching a keyword</t>
  </si>
  <si>
    <t>FP</t>
  </si>
  <si>
    <t>TP</t>
  </si>
  <si>
    <t>TN</t>
  </si>
  <si>
    <t>FN</t>
  </si>
  <si>
    <t>Tot</t>
  </si>
  <si>
    <t>Perc FN</t>
  </si>
  <si>
    <t>Reduction for expert</t>
  </si>
  <si>
    <t>Overall Accuracy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</si>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</sst>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8">
    <xf numFmtId="0" fontId="0" fillId="0" borderId="0"/>
    <xf numFmtId="0" fontId="3" fillId="2" borderId="2" applyNumberFormat="0" applyAlignment="0" applyProtection="0"/>
    <xf numFmtId="0" fontId="4" fillId="3" borderId="3" applyNumberFormat="0" applyAlignment="0" applyProtection="0"/>
    <xf numFmtId="0" fontId="1" fillId="4" borderId="4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0" fontId="3" fillId="2" borderId="2" xfId="1" applyNumberFormat="1"/>
    <xf numFmtId="0" fontId="1" fillId="6" borderId="1" xfId="5" applyBorder="1"/>
    <xf numFmtId="0" fontId="6" fillId="2" borderId="2" xfId="1" applyFont="1"/>
    <xf numFmtId="0" fontId="1" fillId="5" borderId="1" xfId="4" applyBorder="1"/>
    <xf numFmtId="0" fontId="4" fillId="3" borderId="3" xfId="2"/>
    <xf numFmtId="0" fontId="1" fillId="4" borderId="4" xfId="3"/>
    <xf numFmtId="0" fontId="0" fillId="0" borderId="0" xfId="0" applyAlignment="1">
      <alignment horizontal="center"/>
    </xf>
    <xf numFmtId="0" fontId="6" fillId="2" borderId="5" xfId="1" applyFont="1" applyBorder="1"/>
    <xf numFmtId="10" fontId="3" fillId="2" borderId="2" xfId="1" applyNumberFormat="1" applyAlignment="1">
      <alignment vertical="center"/>
    </xf>
    <xf numFmtId="10" fontId="3" fillId="2" borderId="5" xfId="1" applyNumberFormat="1" applyBorder="1"/>
    <xf numFmtId="0" fontId="1" fillId="4" borderId="4" xfId="3" applyAlignment="1">
      <alignment horizontal="center"/>
    </xf>
    <xf numFmtId="2" fontId="1" fillId="4" borderId="4" xfId="3" applyNumberFormat="1"/>
    <xf numFmtId="164" fontId="1" fillId="4" borderId="4" xfId="3" applyNumberFormat="1"/>
    <xf numFmtId="0" fontId="4" fillId="3" borderId="3" xfId="2" applyAlignment="1">
      <alignment horizontal="center" wrapText="1"/>
    </xf>
    <xf numFmtId="10" fontId="4" fillId="3" borderId="3" xfId="2" applyNumberFormat="1"/>
    <xf numFmtId="0" fontId="2" fillId="4" borderId="4" xfId="3" applyFont="1" applyAlignment="1">
      <alignment horizontal="center"/>
    </xf>
    <xf numFmtId="0" fontId="2" fillId="4" borderId="4" xfId="3" applyFont="1" applyAlignment="1">
      <alignment horizontal="center" wrapText="1"/>
    </xf>
    <xf numFmtId="10" fontId="0" fillId="0" borderId="0" xfId="0" applyNumberFormat="1"/>
    <xf numFmtId="165" fontId="0" fillId="0" borderId="0" xfId="0" applyNumberFormat="1"/>
    <xf numFmtId="10" fontId="0" fillId="0" borderId="0" xfId="7" applyNumberFormat="1" applyFont="1"/>
    <xf numFmtId="0" fontId="8" fillId="0" borderId="1" xfId="6" applyFont="1" applyFill="1" applyBorder="1"/>
    <xf numFmtId="2" fontId="9" fillId="0" borderId="0" xfId="0" applyNumberFormat="1" applyFont="1" applyFill="1"/>
    <xf numFmtId="0" fontId="8" fillId="0" borderId="6" xfId="5" applyFont="1" applyFill="1" applyBorder="1"/>
    <xf numFmtId="0" fontId="8" fillId="0" borderId="0" xfId="5" applyFont="1" applyFill="1"/>
    <xf numFmtId="165" fontId="8" fillId="0" borderId="0" xfId="7" applyNumberFormat="1" applyFont="1" applyFill="1"/>
    <xf numFmtId="9" fontId="8" fillId="0" borderId="0" xfId="5" applyNumberFormat="1" applyFont="1" applyFill="1"/>
    <xf numFmtId="0" fontId="8" fillId="0" borderId="0" xfId="0" applyFont="1" applyFill="1"/>
  </cellXfs>
  <cellStyles count="8">
    <cellStyle name="20% - Accent2" xfId="4" builtinId="34"/>
    <cellStyle name="40% - Accent2" xfId="5" builtinId="35"/>
    <cellStyle name="60% - Accent2" xfId="6" builtinId="36"/>
    <cellStyle name="Check Cell" xfId="2" builtinId="23"/>
    <cellStyle name="Input" xfId="1" builtinId="20"/>
    <cellStyle name="Normal" xfId="0" builtinId="0"/>
    <cellStyle name="Note" xfId="3" builtinId="10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SNR vs performance</a:t>
            </a:r>
            <a:r>
              <a:rPr lang="en-GB" baseline="0"/>
              <a:t> metrics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'Performance per test set'!$B$1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'Performance per test set'!$H$2:$H$11</c:f>
              <c:numCache>
                <c:formatCode>General</c:formatCode>
                <c:ptCount val="10"/>
                <c:pt idx="0">
                  <c:v>14.17</c:v>
                </c:pt>
                <c:pt idx="1">
                  <c:v>6.76</c:v>
                </c:pt>
                <c:pt idx="2" formatCode="0.0">
                  <c:v>11.0038034265223</c:v>
                </c:pt>
                <c:pt idx="3" formatCode="0.00">
                  <c:v>11.135154022581901</c:v>
                </c:pt>
                <c:pt idx="4" formatCode="0.0">
                  <c:v>6.7673626228459396</c:v>
                </c:pt>
                <c:pt idx="5">
                  <c:v>11.5</c:v>
                </c:pt>
                <c:pt idx="6">
                  <c:v>12.3</c:v>
                </c:pt>
                <c:pt idx="7">
                  <c:v>4.63</c:v>
                </c:pt>
                <c:pt idx="8">
                  <c:v>4.7699999999999996</c:v>
                </c:pt>
                <c:pt idx="9">
                  <c:v>10.050000000000001</c:v>
                </c:pt>
              </c:numCache>
            </c:numRef>
          </c:cat>
          <c:val>
            <c:numRef>
              <c:f>'Performance per test set'!$B$2:$B$11</c:f>
              <c:numCache>
                <c:formatCode>0.00</c:formatCode>
                <c:ptCount val="10"/>
                <c:pt idx="0">
                  <c:v>0.58823529411764697</c:v>
                </c:pt>
                <c:pt idx="1">
                  <c:v>0.72727272727272696</c:v>
                </c:pt>
                <c:pt idx="2">
                  <c:v>0.35714285714285698</c:v>
                </c:pt>
                <c:pt idx="3">
                  <c:v>0.92307692307692302</c:v>
                </c:pt>
                <c:pt idx="4">
                  <c:v>0.28571428571428498</c:v>
                </c:pt>
                <c:pt idx="5">
                  <c:v>0.75</c:v>
                </c:pt>
                <c:pt idx="6">
                  <c:v>0.63636363636363602</c:v>
                </c:pt>
                <c:pt idx="7">
                  <c:v>0.2</c:v>
                </c:pt>
                <c:pt idx="8">
                  <c:v>0.5</c:v>
                </c:pt>
                <c:pt idx="9">
                  <c:v>0.5625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3-4692-8383-B534C3BA44EF}"/>
            </c:ext>
          </c:extLst>
        </c:ser>
        <c:ser>
          <c:idx val="1"/>
          <c:order val="1"/>
          <c:tx>
            <c:strRef>
              <c:f>'Performance per test set'!$C$1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'Performance per test set'!$C$2:$C$11</c:f>
              <c:numCache>
                <c:formatCode>0.00</c:formatCode>
                <c:ptCount val="10"/>
                <c:pt idx="0">
                  <c:v>0.64615384615384597</c:v>
                </c:pt>
                <c:pt idx="1">
                  <c:v>0.73076923076922995</c:v>
                </c:pt>
                <c:pt idx="2">
                  <c:v>0.71153846153846101</c:v>
                </c:pt>
                <c:pt idx="3">
                  <c:v>0.70909090909090899</c:v>
                </c:pt>
                <c:pt idx="4">
                  <c:v>0.7</c:v>
                </c:pt>
                <c:pt idx="5">
                  <c:v>0.64583333333333304</c:v>
                </c:pt>
                <c:pt idx="6">
                  <c:v>0.57692307692307598</c:v>
                </c:pt>
                <c:pt idx="7">
                  <c:v>0.5</c:v>
                </c:pt>
                <c:pt idx="8">
                  <c:v>0.36842105263157798</c:v>
                </c:pt>
                <c:pt idx="9">
                  <c:v>0.63414634146341398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F3-4692-8383-B534C3BA44EF}"/>
            </c:ext>
          </c:extLst>
        </c:ser>
        <c:ser>
          <c:idx val="2"/>
          <c:order val="2"/>
          <c:tx>
            <c:strRef>
              <c:f>'Performance per test set'!$D$1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'Performance per test set'!$D$2:$D$11</c:f>
              <c:numCache>
                <c:formatCode>0.00</c:formatCode>
                <c:ptCount val="10"/>
                <c:pt idx="0">
                  <c:v>0.38461538461538403</c:v>
                </c:pt>
                <c:pt idx="1">
                  <c:v>0.66666666666666596</c:v>
                </c:pt>
                <c:pt idx="2">
                  <c:v>0.45454545454545398</c:v>
                </c:pt>
                <c:pt idx="3">
                  <c:v>0.44444444444444398</c:v>
                </c:pt>
                <c:pt idx="4">
                  <c:v>0.22222222222222199</c:v>
                </c:pt>
                <c:pt idx="5">
                  <c:v>0.39130434782608697</c:v>
                </c:pt>
                <c:pt idx="6">
                  <c:v>0.28000000000000003</c:v>
                </c:pt>
                <c:pt idx="7">
                  <c:v>0.25</c:v>
                </c:pt>
                <c:pt idx="8">
                  <c:v>0.25</c:v>
                </c:pt>
                <c:pt idx="9">
                  <c:v>0.52941176470588203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F3-4692-8383-B534C3BA44EF}"/>
            </c:ext>
          </c:extLst>
        </c:ser>
        <c:ser>
          <c:idx val="3"/>
          <c:order val="3"/>
          <c:tx>
            <c:strRef>
              <c:f>'Performance per test set'!$E$1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'Performance per test set'!$E$2:$E$11</c:f>
              <c:numCache>
                <c:formatCode>0.00</c:formatCode>
                <c:ptCount val="10"/>
                <c:pt idx="0">
                  <c:v>0.46511627906976699</c:v>
                </c:pt>
                <c:pt idx="1">
                  <c:v>0.69565217391304301</c:v>
                </c:pt>
                <c:pt idx="2">
                  <c:v>0.4</c:v>
                </c:pt>
                <c:pt idx="3">
                  <c:v>0.6</c:v>
                </c:pt>
                <c:pt idx="4">
                  <c:v>0.25</c:v>
                </c:pt>
                <c:pt idx="5">
                  <c:v>0.51428571428571401</c:v>
                </c:pt>
                <c:pt idx="6">
                  <c:v>0.38888888888888801</c:v>
                </c:pt>
                <c:pt idx="7">
                  <c:v>0.22222222222222199</c:v>
                </c:pt>
                <c:pt idx="8">
                  <c:v>0.33333333333333298</c:v>
                </c:pt>
                <c:pt idx="9">
                  <c:v>0.54545454545454497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F3-4692-8383-B534C3BA44EF}"/>
            </c:ext>
          </c:extLst>
        </c:ser>
        <c:ser>
          <c:idx val="4"/>
          <c:order val="4"/>
          <c:tx>
            <c:strRef>
              <c:f>'Performance per test set'!$F$1</c:f>
              <c:strCache>
                <c:ptCount val="1"/>
                <c:pt idx="0">
                  <c:v>Agreement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'Performance per test set'!$F$2:$F$11</c:f>
              <c:numCache>
                <c:formatCode>General</c:formatCode>
                <c:ptCount val="10"/>
                <c:pt idx="0">
                  <c:v>0.218</c:v>
                </c:pt>
                <c:pt idx="1">
                  <c:v>0.45500000000000002</c:v>
                </c:pt>
                <c:pt idx="2">
                  <c:v>0.214</c:v>
                </c:pt>
                <c:pt idx="3">
                  <c:v>0.41299999999999998</c:v>
                </c:pt>
                <c:pt idx="4">
                  <c:v>6.6000000000000003E-2</c:v>
                </c:pt>
                <c:pt idx="5">
                  <c:v>0.27700000000000002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0.152</c:v>
                </c:pt>
                <c:pt idx="9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F3-4692-8383-B534C3BA4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22832"/>
        <c:axId val="393622176"/>
      </c:lineChart>
      <c:catAx>
        <c:axId val="3936228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22176"/>
        <c:crosses val="autoZero"/>
        <c:auto val="1"/>
        <c:lblAlgn val="ctr"/>
        <c:lblOffset val="100"/>
        <c:noMultiLvlLbl val="0"/>
      </c:catAx>
      <c:valAx>
        <c:axId val="3936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per Test 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per test set'!$B$1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per test set'!$A$2:$A$11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'Performance per test set'!$B$2:$B$11</c:f>
              <c:numCache>
                <c:formatCode>0.00</c:formatCode>
                <c:ptCount val="10"/>
                <c:pt idx="0">
                  <c:v>0.58823529411764697</c:v>
                </c:pt>
                <c:pt idx="1">
                  <c:v>0.72727272727272696</c:v>
                </c:pt>
                <c:pt idx="2">
                  <c:v>0.35714285714285698</c:v>
                </c:pt>
                <c:pt idx="3">
                  <c:v>0.92307692307692302</c:v>
                </c:pt>
                <c:pt idx="4">
                  <c:v>0.28571428571428498</c:v>
                </c:pt>
                <c:pt idx="5">
                  <c:v>0.75</c:v>
                </c:pt>
                <c:pt idx="6">
                  <c:v>0.63636363636363602</c:v>
                </c:pt>
                <c:pt idx="7">
                  <c:v>0.2</c:v>
                </c:pt>
                <c:pt idx="8">
                  <c:v>0.5</c:v>
                </c:pt>
                <c:pt idx="9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3-4CC4-A2A9-D8FFF664A266}"/>
            </c:ext>
          </c:extLst>
        </c:ser>
        <c:ser>
          <c:idx val="1"/>
          <c:order val="1"/>
          <c:tx>
            <c:strRef>
              <c:f>'Performance per test set'!$C$1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per test set'!$A$2:$A$11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'Performance per test set'!$C$2:$C$11</c:f>
              <c:numCache>
                <c:formatCode>0.00</c:formatCode>
                <c:ptCount val="10"/>
                <c:pt idx="0">
                  <c:v>0.64615384615384597</c:v>
                </c:pt>
                <c:pt idx="1">
                  <c:v>0.73076923076922995</c:v>
                </c:pt>
                <c:pt idx="2">
                  <c:v>0.71153846153846101</c:v>
                </c:pt>
                <c:pt idx="3">
                  <c:v>0.70909090909090899</c:v>
                </c:pt>
                <c:pt idx="4">
                  <c:v>0.7</c:v>
                </c:pt>
                <c:pt idx="5">
                  <c:v>0.64583333333333304</c:v>
                </c:pt>
                <c:pt idx="6">
                  <c:v>0.57692307692307598</c:v>
                </c:pt>
                <c:pt idx="7">
                  <c:v>0.5</c:v>
                </c:pt>
                <c:pt idx="8">
                  <c:v>0.36842105263157798</c:v>
                </c:pt>
                <c:pt idx="9">
                  <c:v>0.63414634146341398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33-4CC4-A2A9-D8FFF664A266}"/>
            </c:ext>
          </c:extLst>
        </c:ser>
        <c:ser>
          <c:idx val="2"/>
          <c:order val="2"/>
          <c:tx>
            <c:strRef>
              <c:f>'Performance per test set'!$D$1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'Performance per test set'!$A$2:$A$11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'Performance per test set'!$D$2:$D$11</c:f>
              <c:numCache>
                <c:formatCode>0.00</c:formatCode>
                <c:ptCount val="10"/>
                <c:pt idx="0">
                  <c:v>0.38461538461538403</c:v>
                </c:pt>
                <c:pt idx="1">
                  <c:v>0.66666666666666596</c:v>
                </c:pt>
                <c:pt idx="2">
                  <c:v>0.45454545454545398</c:v>
                </c:pt>
                <c:pt idx="3">
                  <c:v>0.44444444444444398</c:v>
                </c:pt>
                <c:pt idx="4">
                  <c:v>0.22222222222222199</c:v>
                </c:pt>
                <c:pt idx="5">
                  <c:v>0.39130434782608697</c:v>
                </c:pt>
                <c:pt idx="6">
                  <c:v>0.28000000000000003</c:v>
                </c:pt>
                <c:pt idx="7">
                  <c:v>0.25</c:v>
                </c:pt>
                <c:pt idx="8">
                  <c:v>0.25</c:v>
                </c:pt>
                <c:pt idx="9">
                  <c:v>0.52941176470588203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33-4CC4-A2A9-D8FFF664A266}"/>
            </c:ext>
          </c:extLst>
        </c:ser>
        <c:ser>
          <c:idx val="3"/>
          <c:order val="3"/>
          <c:tx>
            <c:strRef>
              <c:f>'Performance per test set'!$E$1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'Performance per test set'!$A$2:$A$11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'Performance per test set'!$E$2:$E$11</c:f>
              <c:numCache>
                <c:formatCode>0.00</c:formatCode>
                <c:ptCount val="10"/>
                <c:pt idx="0">
                  <c:v>0.46511627906976699</c:v>
                </c:pt>
                <c:pt idx="1">
                  <c:v>0.69565217391304301</c:v>
                </c:pt>
                <c:pt idx="2">
                  <c:v>0.4</c:v>
                </c:pt>
                <c:pt idx="3">
                  <c:v>0.6</c:v>
                </c:pt>
                <c:pt idx="4">
                  <c:v>0.25</c:v>
                </c:pt>
                <c:pt idx="5">
                  <c:v>0.51428571428571401</c:v>
                </c:pt>
                <c:pt idx="6">
                  <c:v>0.38888888888888801</c:v>
                </c:pt>
                <c:pt idx="7">
                  <c:v>0.22222222222222199</c:v>
                </c:pt>
                <c:pt idx="8">
                  <c:v>0.33333333333333298</c:v>
                </c:pt>
                <c:pt idx="9">
                  <c:v>0.54545454545454497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33-4CC4-A2A9-D8FFF664A266}"/>
            </c:ext>
          </c:extLst>
        </c:ser>
        <c:ser>
          <c:idx val="4"/>
          <c:order val="4"/>
          <c:tx>
            <c:strRef>
              <c:f>'Performance per test set'!$F$1</c:f>
              <c:strCache>
                <c:ptCount val="1"/>
                <c:pt idx="0">
                  <c:v>Agreement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'Performance per test set'!$A$2:$A$11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'Performance per test set'!$F$2:$F$11</c:f>
              <c:numCache>
                <c:formatCode>General</c:formatCode>
                <c:ptCount val="10"/>
                <c:pt idx="0">
                  <c:v>0.218</c:v>
                </c:pt>
                <c:pt idx="1">
                  <c:v>0.45500000000000002</c:v>
                </c:pt>
                <c:pt idx="2">
                  <c:v>0.214</c:v>
                </c:pt>
                <c:pt idx="3">
                  <c:v>0.41299999999999998</c:v>
                </c:pt>
                <c:pt idx="4">
                  <c:v>6.6000000000000003E-2</c:v>
                </c:pt>
                <c:pt idx="5">
                  <c:v>0.27700000000000002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0.152</c:v>
                </c:pt>
                <c:pt idx="9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33-4CC4-A2A9-D8FFF664A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410920"/>
        <c:axId val="365409608"/>
      </c:barChart>
      <c:catAx>
        <c:axId val="36541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5409608"/>
        <c:crosses val="autoZero"/>
        <c:auto val="1"/>
        <c:lblAlgn val="ctr"/>
        <c:lblOffset val="100"/>
        <c:noMultiLvlLbl val="0"/>
      </c:catAx>
      <c:valAx>
        <c:axId val="3654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541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of Performance with SNR'!$B$1</c:f>
              <c:strCache>
                <c:ptCount val="1"/>
                <c:pt idx="0">
                  <c:v>CORRELATION with SNR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'Corr of Performance with SNR'!$A$2:$A$6</c:f>
              <c:strCache>
                <c:ptCount val="5"/>
                <c:pt idx="0">
                  <c:v>Recall</c:v>
                </c:pt>
                <c:pt idx="1">
                  <c:v>Accuracy</c:v>
                </c:pt>
                <c:pt idx="2">
                  <c:v>Precision</c:v>
                </c:pt>
                <c:pt idx="3">
                  <c:v>F-Measure</c:v>
                </c:pt>
                <c:pt idx="4">
                  <c:v>Kappa</c:v>
                </c:pt>
              </c:strCache>
            </c:strRef>
          </c:cat>
          <c:val>
            <c:numRef>
              <c:f>'Corr of Performance with SNR'!$B$2:$B$6</c:f>
              <c:numCache>
                <c:formatCode>0.00%</c:formatCode>
                <c:ptCount val="5"/>
                <c:pt idx="0">
                  <c:v>0.49816480000000002</c:v>
                </c:pt>
                <c:pt idx="1">
                  <c:v>0.51800000000000002</c:v>
                </c:pt>
                <c:pt idx="2">
                  <c:v>0.28100000000000003</c:v>
                </c:pt>
                <c:pt idx="3">
                  <c:v>0.39200000000000002</c:v>
                </c:pt>
                <c:pt idx="4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A-4603-B72E-17B8892E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758744"/>
        <c:axId val="461759072"/>
      </c:barChart>
      <c:catAx>
        <c:axId val="46175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759072"/>
        <c:crosses val="autoZero"/>
        <c:auto val="1"/>
        <c:lblAlgn val="ctr"/>
        <c:lblOffset val="100"/>
        <c:noMultiLvlLbl val="0"/>
      </c:catAx>
      <c:valAx>
        <c:axId val="4617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75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0</xdr:row>
      <xdr:rowOff>104775</xdr:rowOff>
    </xdr:from>
    <xdr:to>
      <xdr:col>18</xdr:col>
      <xdr:colOff>200025</xdr:colOff>
      <xdr:row>18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12</xdr:row>
      <xdr:rowOff>57150</xdr:rowOff>
    </xdr:from>
    <xdr:to>
      <xdr:col>6</xdr:col>
      <xdr:colOff>1190625</xdr:colOff>
      <xdr:row>31</xdr:row>
      <xdr:rowOff>104775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1</xdr:row>
      <xdr:rowOff>28575</xdr:rowOff>
    </xdr:from>
    <xdr:to>
      <xdr:col>10</xdr:col>
      <xdr:colOff>328612</xdr:colOff>
      <xdr:row>15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opLeftCell="M1" workbookViewId="0">
      <selection activeCell="R2" sqref="R2"/>
    </sheetView>
  </sheetViews>
  <sheetFormatPr defaultRowHeight="14.4" x14ac:dyDescent="0.3"/>
  <cols>
    <col min="6" max="6" width="14.44140625" customWidth="1"/>
    <col min="12" max="12" width="12.33203125" bestFit="1" customWidth="1"/>
    <col min="13" max="13" width="12.33203125" customWidth="1"/>
    <col min="14" max="14" width="21.21875" customWidth="1"/>
    <col min="15" max="15" width="12.44140625" customWidth="1"/>
    <col min="17" max="17" width="10" bestFit="1" customWidth="1"/>
    <col min="18" max="18" width="12.33203125" bestFit="1" customWidth="1"/>
    <col min="19" max="19" width="12.6640625" bestFit="1" customWidth="1"/>
    <col min="28" max="28" width="19.5546875" bestFit="1" customWidth="1"/>
  </cols>
  <sheetData>
    <row r="1" spans="1:28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6</v>
      </c>
      <c r="K1" s="2" t="s">
        <v>169</v>
      </c>
      <c r="L1" s="2" t="s">
        <v>170</v>
      </c>
      <c r="M1" s="1" t="s">
        <v>234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228</v>
      </c>
      <c r="W1" s="2" t="s">
        <v>229</v>
      </c>
      <c r="X1" s="2" t="s">
        <v>227</v>
      </c>
      <c r="Y1" s="2" t="s">
        <v>230</v>
      </c>
      <c r="Z1" s="2" t="s">
        <v>231</v>
      </c>
      <c r="AA1" s="2" t="s">
        <v>232</v>
      </c>
      <c r="AB1" s="2" t="s">
        <v>233</v>
      </c>
    </row>
    <row r="2" spans="1:28" s="29" customFormat="1" x14ac:dyDescent="0.3">
      <c r="A2" s="23">
        <v>10</v>
      </c>
      <c r="B2" s="23">
        <v>0.2</v>
      </c>
      <c r="C2" s="23">
        <v>0.1</v>
      </c>
      <c r="D2" s="23">
        <v>3</v>
      </c>
      <c r="E2" s="23">
        <v>2</v>
      </c>
      <c r="F2" s="23" t="s">
        <v>10</v>
      </c>
      <c r="G2" s="23">
        <v>63.4</v>
      </c>
      <c r="H2" s="23">
        <v>56.8</v>
      </c>
      <c r="I2" s="23">
        <v>39.4</v>
      </c>
      <c r="J2" s="23">
        <v>46.5</v>
      </c>
      <c r="K2" s="23">
        <v>0.21</v>
      </c>
      <c r="L2" s="23" t="s">
        <v>171</v>
      </c>
      <c r="M2" s="24">
        <f>V2+W2/SUM(V2:Y2)</f>
        <v>67.483568075117375</v>
      </c>
      <c r="N2" s="23">
        <v>36.799999999999997</v>
      </c>
      <c r="O2" s="23">
        <v>73.099999999999994</v>
      </c>
      <c r="P2" s="23">
        <v>20</v>
      </c>
      <c r="Q2" s="23">
        <v>92.3</v>
      </c>
      <c r="R2" s="23">
        <v>22</v>
      </c>
      <c r="S2" s="23">
        <v>67</v>
      </c>
      <c r="T2" s="23">
        <v>22</v>
      </c>
      <c r="U2" s="23">
        <v>70</v>
      </c>
      <c r="V2" s="25">
        <v>67</v>
      </c>
      <c r="W2" s="25">
        <v>206</v>
      </c>
      <c r="X2" s="25">
        <v>103</v>
      </c>
      <c r="Y2" s="25">
        <v>50</v>
      </c>
      <c r="Z2" s="26">
        <f>SUM(V2:Y2)</f>
        <v>426</v>
      </c>
      <c r="AA2" s="27">
        <f>Y2/Z2</f>
        <v>0.11737089201877934</v>
      </c>
      <c r="AB2" s="28">
        <f>1-(Z2-(X2+V2))/Z2</f>
        <v>0.39906103286384975</v>
      </c>
    </row>
    <row r="3" spans="1:28" x14ac:dyDescent="0.3">
      <c r="A3" s="4">
        <v>10</v>
      </c>
      <c r="B3" s="4">
        <v>0.2</v>
      </c>
      <c r="C3" s="4">
        <v>0.1</v>
      </c>
      <c r="D3" s="4">
        <v>4</v>
      </c>
      <c r="E3" s="4">
        <v>2</v>
      </c>
      <c r="F3" s="4" t="s">
        <v>10</v>
      </c>
      <c r="G3" s="4">
        <v>74.400000000000006</v>
      </c>
      <c r="H3" s="4">
        <v>54.4</v>
      </c>
      <c r="I3" s="4">
        <v>45.7</v>
      </c>
      <c r="J3" s="4">
        <v>49.7</v>
      </c>
    </row>
    <row r="4" spans="1:28" x14ac:dyDescent="0.3">
      <c r="A4" s="6">
        <v>10</v>
      </c>
      <c r="B4" s="6">
        <v>0.2</v>
      </c>
      <c r="C4" s="6">
        <v>0.1</v>
      </c>
      <c r="D4" s="6">
        <v>3</v>
      </c>
      <c r="E4" s="6">
        <v>3</v>
      </c>
      <c r="F4" s="6" t="s">
        <v>10</v>
      </c>
      <c r="G4" s="6">
        <v>66.400000000000006</v>
      </c>
      <c r="H4" s="6">
        <v>44.4</v>
      </c>
      <c r="I4" s="6">
        <v>40</v>
      </c>
      <c r="J4" s="6">
        <v>42.1</v>
      </c>
    </row>
    <row r="5" spans="1:28" x14ac:dyDescent="0.3">
      <c r="A5">
        <v>4</v>
      </c>
      <c r="B5">
        <v>0.2</v>
      </c>
      <c r="C5">
        <v>0.1</v>
      </c>
      <c r="D5">
        <v>3</v>
      </c>
      <c r="E5">
        <v>2</v>
      </c>
      <c r="F5" t="s">
        <v>10</v>
      </c>
      <c r="G5">
        <v>51</v>
      </c>
      <c r="J5">
        <v>47.3</v>
      </c>
    </row>
    <row r="6" spans="1:28" x14ac:dyDescent="0.3">
      <c r="A6">
        <v>2</v>
      </c>
      <c r="B6">
        <v>0.2</v>
      </c>
      <c r="C6">
        <v>0.1</v>
      </c>
      <c r="D6">
        <v>3</v>
      </c>
      <c r="E6">
        <v>2</v>
      </c>
      <c r="G6">
        <v>60</v>
      </c>
      <c r="H6">
        <v>66</v>
      </c>
      <c r="I6">
        <v>33</v>
      </c>
      <c r="J6">
        <v>44</v>
      </c>
    </row>
    <row r="7" spans="1:28" x14ac:dyDescent="0.3">
      <c r="A7">
        <v>2</v>
      </c>
      <c r="B7">
        <v>0.2</v>
      </c>
      <c r="C7">
        <v>0.1</v>
      </c>
      <c r="D7">
        <v>5</v>
      </c>
      <c r="E7">
        <v>2</v>
      </c>
      <c r="G7">
        <v>80</v>
      </c>
      <c r="H7">
        <v>46</v>
      </c>
      <c r="I7">
        <v>36</v>
      </c>
      <c r="J7">
        <v>41</v>
      </c>
    </row>
    <row r="8" spans="1:28" x14ac:dyDescent="0.3">
      <c r="A8">
        <v>2</v>
      </c>
      <c r="B8">
        <v>0.2</v>
      </c>
      <c r="C8">
        <v>0.1</v>
      </c>
      <c r="D8">
        <v>4</v>
      </c>
      <c r="E8">
        <v>2</v>
      </c>
      <c r="G8">
        <v>74</v>
      </c>
      <c r="H8">
        <v>63</v>
      </c>
      <c r="I8">
        <v>38</v>
      </c>
      <c r="J8">
        <v>48</v>
      </c>
    </row>
    <row r="9" spans="1:28" x14ac:dyDescent="0.3">
      <c r="A9">
        <v>1</v>
      </c>
      <c r="B9">
        <v>0.2</v>
      </c>
      <c r="C9">
        <v>0.1</v>
      </c>
      <c r="D9">
        <v>3</v>
      </c>
      <c r="E9">
        <v>3</v>
      </c>
      <c r="G9">
        <v>64.5</v>
      </c>
      <c r="J9">
        <v>45.1</v>
      </c>
    </row>
    <row r="10" spans="1:28" x14ac:dyDescent="0.3">
      <c r="A10">
        <v>1</v>
      </c>
      <c r="B10">
        <v>0.2</v>
      </c>
      <c r="C10">
        <v>0.1</v>
      </c>
      <c r="D10">
        <v>3</v>
      </c>
      <c r="E10">
        <v>4</v>
      </c>
      <c r="G10">
        <v>66</v>
      </c>
      <c r="J10">
        <v>38.4</v>
      </c>
    </row>
    <row r="11" spans="1:28" x14ac:dyDescent="0.3">
      <c r="A11">
        <v>1</v>
      </c>
      <c r="B11">
        <v>0.2</v>
      </c>
      <c r="C11">
        <v>0.1</v>
      </c>
      <c r="D11">
        <v>3</v>
      </c>
      <c r="E11">
        <v>2</v>
      </c>
      <c r="F11" t="s">
        <v>11</v>
      </c>
      <c r="G11">
        <v>66.599999999999994</v>
      </c>
      <c r="J11">
        <v>27.2</v>
      </c>
    </row>
    <row r="12" spans="1:28" x14ac:dyDescent="0.3">
      <c r="A12">
        <v>1</v>
      </c>
      <c r="B12">
        <v>0.1</v>
      </c>
      <c r="C12">
        <v>0.1</v>
      </c>
      <c r="D12">
        <v>3</v>
      </c>
      <c r="E12">
        <v>2</v>
      </c>
      <c r="F12" t="s">
        <v>10</v>
      </c>
      <c r="G12">
        <v>64.5</v>
      </c>
      <c r="J12">
        <v>51.4</v>
      </c>
    </row>
    <row r="14" spans="1:28" x14ac:dyDescent="0.3">
      <c r="A14" s="1" t="s">
        <v>177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topLeftCell="G4" workbookViewId="0">
      <selection activeCell="H13" sqref="H13"/>
    </sheetView>
  </sheetViews>
  <sheetFormatPr defaultRowHeight="14.4" x14ac:dyDescent="0.3"/>
  <cols>
    <col min="5" max="5" width="11.33203125" customWidth="1"/>
    <col min="6" max="6" width="13.5546875" customWidth="1"/>
    <col min="7" max="7" width="19.5546875" style="9" customWidth="1"/>
    <col min="8" max="8" width="10.6640625" customWidth="1"/>
  </cols>
  <sheetData>
    <row r="1" spans="1:8" ht="59.25" customHeight="1" x14ac:dyDescent="0.3">
      <c r="A1" s="18" t="s">
        <v>24</v>
      </c>
      <c r="B1" s="18" t="s">
        <v>12</v>
      </c>
      <c r="C1" s="18" t="s">
        <v>25</v>
      </c>
      <c r="D1" s="18" t="s">
        <v>26</v>
      </c>
      <c r="E1" s="18" t="s">
        <v>245</v>
      </c>
      <c r="F1" s="18" t="s">
        <v>168</v>
      </c>
      <c r="G1" s="19" t="s">
        <v>174</v>
      </c>
      <c r="H1" s="18" t="s">
        <v>23</v>
      </c>
    </row>
    <row r="2" spans="1:8" x14ac:dyDescent="0.3">
      <c r="A2" s="8" t="s">
        <v>235</v>
      </c>
      <c r="B2" s="14">
        <v>0.58823529411764697</v>
      </c>
      <c r="C2" s="14">
        <v>0.64615384615384597</v>
      </c>
      <c r="D2" s="14">
        <v>0.38461538461538403</v>
      </c>
      <c r="E2" s="14">
        <v>0.46511627906976699</v>
      </c>
      <c r="F2" s="8">
        <v>0.218</v>
      </c>
      <c r="G2" s="13" t="s">
        <v>171</v>
      </c>
      <c r="H2" s="8">
        <v>14.17</v>
      </c>
    </row>
    <row r="3" spans="1:8" x14ac:dyDescent="0.3">
      <c r="A3" s="8" t="s">
        <v>236</v>
      </c>
      <c r="B3" s="14">
        <v>0.72727272727272696</v>
      </c>
      <c r="C3" s="14">
        <v>0.73076923076922995</v>
      </c>
      <c r="D3" s="14">
        <v>0.66666666666666596</v>
      </c>
      <c r="E3" s="14">
        <v>0.69565217391304301</v>
      </c>
      <c r="F3" s="8">
        <v>0.45500000000000002</v>
      </c>
      <c r="G3" s="13" t="s">
        <v>172</v>
      </c>
      <c r="H3" s="8">
        <v>6.76</v>
      </c>
    </row>
    <row r="4" spans="1:8" x14ac:dyDescent="0.3">
      <c r="A4" s="8" t="s">
        <v>237</v>
      </c>
      <c r="B4" s="14">
        <v>0.35714285714285698</v>
      </c>
      <c r="C4" s="14">
        <v>0.71153846153846101</v>
      </c>
      <c r="D4" s="14">
        <v>0.45454545454545398</v>
      </c>
      <c r="E4" s="14">
        <v>0.4</v>
      </c>
      <c r="F4" s="8">
        <v>0.214</v>
      </c>
      <c r="G4" s="13" t="s">
        <v>171</v>
      </c>
      <c r="H4" s="15">
        <v>11.0038034265223</v>
      </c>
    </row>
    <row r="5" spans="1:8" x14ac:dyDescent="0.3">
      <c r="A5" s="8" t="s">
        <v>238</v>
      </c>
      <c r="B5" s="14">
        <v>0.92307692307692302</v>
      </c>
      <c r="C5" s="14">
        <v>0.70909090909090899</v>
      </c>
      <c r="D5" s="14">
        <v>0.44444444444444398</v>
      </c>
      <c r="E5" s="14">
        <v>0.6</v>
      </c>
      <c r="F5" s="8">
        <v>0.41299999999999998</v>
      </c>
      <c r="G5" s="13" t="s">
        <v>172</v>
      </c>
      <c r="H5" s="14">
        <v>11.135154022581901</v>
      </c>
    </row>
    <row r="6" spans="1:8" x14ac:dyDescent="0.3">
      <c r="A6" s="8" t="s">
        <v>239</v>
      </c>
      <c r="B6" s="14">
        <v>0.28571428571428498</v>
      </c>
      <c r="C6" s="14">
        <v>0.7</v>
      </c>
      <c r="D6" s="14">
        <v>0.22222222222222199</v>
      </c>
      <c r="E6" s="14">
        <v>0.25</v>
      </c>
      <c r="F6" s="8">
        <v>6.6000000000000003E-2</v>
      </c>
      <c r="G6" s="13" t="s">
        <v>173</v>
      </c>
      <c r="H6" s="15">
        <v>6.7673626228459396</v>
      </c>
    </row>
    <row r="7" spans="1:8" x14ac:dyDescent="0.3">
      <c r="A7" s="8" t="s">
        <v>240</v>
      </c>
      <c r="B7" s="14">
        <v>0.75</v>
      </c>
      <c r="C7" s="14">
        <v>0.64583333333333304</v>
      </c>
      <c r="D7" s="14">
        <v>0.39130434782608697</v>
      </c>
      <c r="E7" s="14">
        <v>0.51428571428571401</v>
      </c>
      <c r="F7" s="8">
        <v>0.27700000000000002</v>
      </c>
      <c r="G7" s="13" t="s">
        <v>171</v>
      </c>
      <c r="H7" s="8">
        <v>11.5</v>
      </c>
    </row>
    <row r="8" spans="1:8" x14ac:dyDescent="0.3">
      <c r="A8" s="8" t="s">
        <v>241</v>
      </c>
      <c r="B8" s="14">
        <v>0.63636363636363602</v>
      </c>
      <c r="C8" s="14">
        <v>0.57692307692307598</v>
      </c>
      <c r="D8" s="14">
        <v>0.28000000000000003</v>
      </c>
      <c r="E8" s="14">
        <v>0.38888888888888801</v>
      </c>
      <c r="F8" s="8">
        <v>0.13500000000000001</v>
      </c>
      <c r="G8" s="13" t="s">
        <v>173</v>
      </c>
      <c r="H8" s="8">
        <v>12.3</v>
      </c>
    </row>
    <row r="9" spans="1:8" x14ac:dyDescent="0.3">
      <c r="A9" s="8" t="s">
        <v>242</v>
      </c>
      <c r="B9" s="14">
        <v>0.2</v>
      </c>
      <c r="C9" s="14">
        <v>0.5</v>
      </c>
      <c r="D9" s="14">
        <v>0.25</v>
      </c>
      <c r="E9" s="14">
        <v>0.22222222222222199</v>
      </c>
      <c r="F9" s="8">
        <v>0.14000000000000001</v>
      </c>
      <c r="G9" s="13" t="s">
        <v>173</v>
      </c>
      <c r="H9" s="8">
        <v>4.63</v>
      </c>
    </row>
    <row r="10" spans="1:8" x14ac:dyDescent="0.3">
      <c r="A10" s="8" t="s">
        <v>243</v>
      </c>
      <c r="B10" s="14">
        <v>0.5</v>
      </c>
      <c r="C10" s="14">
        <v>0.36842105263157798</v>
      </c>
      <c r="D10" s="14">
        <v>0.25</v>
      </c>
      <c r="E10" s="14">
        <v>0.33333333333333298</v>
      </c>
      <c r="F10" s="8">
        <v>0.152</v>
      </c>
      <c r="G10" s="13" t="s">
        <v>173</v>
      </c>
      <c r="H10" s="8">
        <v>4.7699999999999996</v>
      </c>
    </row>
    <row r="11" spans="1:8" x14ac:dyDescent="0.3">
      <c r="A11" s="8" t="s">
        <v>244</v>
      </c>
      <c r="B11" s="14">
        <v>0.5625</v>
      </c>
      <c r="C11" s="14">
        <v>0.63414634146341398</v>
      </c>
      <c r="D11" s="14">
        <v>0.52941176470588203</v>
      </c>
      <c r="E11" s="14">
        <v>0.54545454545454497</v>
      </c>
      <c r="F11" s="8">
        <v>0.24</v>
      </c>
      <c r="G11" s="13" t="s">
        <v>171</v>
      </c>
      <c r="H11" s="8">
        <v>10.050000000000001</v>
      </c>
    </row>
    <row r="21" spans="11:12" x14ac:dyDescent="0.3">
      <c r="K21" s="18" t="s">
        <v>24</v>
      </c>
      <c r="L21" s="18" t="s">
        <v>24</v>
      </c>
    </row>
    <row r="22" spans="11:12" x14ac:dyDescent="0.3">
      <c r="K22" s="8" t="s">
        <v>235</v>
      </c>
      <c r="L22" s="8" t="s">
        <v>16</v>
      </c>
    </row>
    <row r="23" spans="11:12" x14ac:dyDescent="0.3">
      <c r="K23" s="8" t="s">
        <v>236</v>
      </c>
      <c r="L23" s="8" t="s">
        <v>14</v>
      </c>
    </row>
    <row r="24" spans="11:12" x14ac:dyDescent="0.3">
      <c r="K24" s="8" t="s">
        <v>237</v>
      </c>
      <c r="L24" s="8" t="s">
        <v>21</v>
      </c>
    </row>
    <row r="25" spans="11:12" x14ac:dyDescent="0.3">
      <c r="K25" s="8" t="s">
        <v>238</v>
      </c>
      <c r="L25" s="8" t="s">
        <v>18</v>
      </c>
    </row>
    <row r="26" spans="11:12" x14ac:dyDescent="0.3">
      <c r="K26" s="8" t="s">
        <v>239</v>
      </c>
      <c r="L26" s="8" t="s">
        <v>22</v>
      </c>
    </row>
    <row r="27" spans="11:12" x14ac:dyDescent="0.3">
      <c r="K27" s="8" t="s">
        <v>240</v>
      </c>
      <c r="L27" s="8" t="s">
        <v>17</v>
      </c>
    </row>
    <row r="28" spans="11:12" x14ac:dyDescent="0.3">
      <c r="K28" s="8" t="s">
        <v>241</v>
      </c>
      <c r="L28" s="8" t="s">
        <v>15</v>
      </c>
    </row>
    <row r="29" spans="11:12" x14ac:dyDescent="0.3">
      <c r="K29" s="8" t="s">
        <v>242</v>
      </c>
      <c r="L29" s="8" t="s">
        <v>19</v>
      </c>
    </row>
    <row r="30" spans="11:12" x14ac:dyDescent="0.3">
      <c r="K30" s="8" t="s">
        <v>243</v>
      </c>
      <c r="L30" s="8" t="s">
        <v>20</v>
      </c>
    </row>
    <row r="31" spans="11:12" x14ac:dyDescent="0.3">
      <c r="K31" s="8" t="s">
        <v>244</v>
      </c>
      <c r="L31" s="8" t="s">
        <v>13</v>
      </c>
    </row>
  </sheetData>
  <sortState xmlns:xlrd2="http://schemas.microsoft.com/office/spreadsheetml/2017/richdata2" ref="A2:H11">
    <sortCondition ref="A2:A11"/>
  </sortState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3" sqref="F3"/>
    </sheetView>
  </sheetViews>
  <sheetFormatPr defaultRowHeight="14.4" x14ac:dyDescent="0.3"/>
  <cols>
    <col min="1" max="1" width="12.33203125" customWidth="1"/>
    <col min="2" max="2" width="18" bestFit="1" customWidth="1"/>
    <col min="4" max="4" width="41.33203125" bestFit="1" customWidth="1"/>
    <col min="5" max="5" width="16.5546875" customWidth="1"/>
    <col min="6" max="6" width="22.6640625" customWidth="1"/>
  </cols>
  <sheetData>
    <row r="1" spans="1:6" x14ac:dyDescent="0.3">
      <c r="A1" s="1" t="s">
        <v>221</v>
      </c>
    </row>
    <row r="2" spans="1:6" x14ac:dyDescent="0.3">
      <c r="A2" s="1" t="s">
        <v>25</v>
      </c>
      <c r="B2" s="1" t="s">
        <v>219</v>
      </c>
      <c r="C2" s="1" t="s">
        <v>220</v>
      </c>
      <c r="D2" s="1" t="s">
        <v>222</v>
      </c>
      <c r="E2" s="1" t="s">
        <v>225</v>
      </c>
      <c r="F2" s="1" t="s">
        <v>226</v>
      </c>
    </row>
    <row r="3" spans="1:6" x14ac:dyDescent="0.3">
      <c r="A3" s="20">
        <v>9.3700000000000006E-2</v>
      </c>
      <c r="B3" s="20">
        <v>4.6600000000000003E-2</v>
      </c>
      <c r="C3" s="20">
        <v>0.14269999999999999</v>
      </c>
      <c r="D3" t="s">
        <v>223</v>
      </c>
      <c r="E3" s="21">
        <v>0.88400000000000001</v>
      </c>
      <c r="F3" s="22">
        <f>((1-E3/100)*(A4/100))</f>
        <v>4.6455669200000001E-3</v>
      </c>
    </row>
    <row r="4" spans="1:6" x14ac:dyDescent="0.3">
      <c r="A4" s="20">
        <v>0.46870000000000001</v>
      </c>
      <c r="B4" s="20">
        <v>0.2331</v>
      </c>
      <c r="C4" s="20">
        <v>0.71330000000000005</v>
      </c>
      <c r="D4" t="s">
        <v>224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7" sqref="B7"/>
    </sheetView>
  </sheetViews>
  <sheetFormatPr defaultRowHeight="14.4" x14ac:dyDescent="0.3"/>
  <cols>
    <col min="1" max="1" width="15.88671875" customWidth="1"/>
    <col min="2" max="2" width="30" customWidth="1"/>
  </cols>
  <sheetData>
    <row r="1" spans="1:2" ht="15.6" thickTop="1" thickBot="1" x14ac:dyDescent="0.35">
      <c r="A1" s="7"/>
      <c r="B1" s="5" t="s">
        <v>175</v>
      </c>
    </row>
    <row r="2" spans="1:2" ht="15" thickTop="1" x14ac:dyDescent="0.3">
      <c r="A2" s="5" t="s">
        <v>12</v>
      </c>
      <c r="B2" s="11">
        <v>0.49816480000000002</v>
      </c>
    </row>
    <row r="3" spans="1:2" x14ac:dyDescent="0.3">
      <c r="A3" s="5" t="s">
        <v>25</v>
      </c>
      <c r="B3" s="3">
        <v>0.51800000000000002</v>
      </c>
    </row>
    <row r="4" spans="1:2" x14ac:dyDescent="0.3">
      <c r="A4" s="5" t="s">
        <v>26</v>
      </c>
      <c r="B4" s="3">
        <v>0.28100000000000003</v>
      </c>
    </row>
    <row r="5" spans="1:2" x14ac:dyDescent="0.3">
      <c r="A5" s="5" t="s">
        <v>27</v>
      </c>
      <c r="B5" s="3">
        <v>0.39200000000000002</v>
      </c>
    </row>
    <row r="6" spans="1:2" x14ac:dyDescent="0.3">
      <c r="A6" s="10" t="s">
        <v>169</v>
      </c>
      <c r="B6" s="12">
        <v>0.29799999999999999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"/>
  <sheetViews>
    <sheetView workbookViewId="0">
      <selection activeCell="A4" sqref="A4"/>
    </sheetView>
  </sheetViews>
  <sheetFormatPr defaultRowHeight="14.4" x14ac:dyDescent="0.3"/>
  <cols>
    <col min="1" max="1" width="19" customWidth="1"/>
    <col min="2" max="2" width="15.44140625" customWidth="1"/>
  </cols>
  <sheetData>
    <row r="1" spans="1:2" ht="30" thickTop="1" thickBot="1" x14ac:dyDescent="0.35">
      <c r="A1" s="16" t="s">
        <v>176</v>
      </c>
      <c r="B1" s="17">
        <v>0.32307692307692298</v>
      </c>
    </row>
    <row r="2" spans="1:2" ht="15" thickTop="1" x14ac:dyDescent="0.3"/>
    <row r="3" spans="1:2" x14ac:dyDescent="0.3">
      <c r="A3" s="1" t="s">
        <v>218</v>
      </c>
    </row>
    <row r="4" spans="1:2" x14ac:dyDescent="0.3">
      <c r="A4" t="s">
        <v>217</v>
      </c>
    </row>
    <row r="5" spans="1:2" x14ac:dyDescent="0.3">
      <c r="A5" t="s">
        <v>188</v>
      </c>
    </row>
    <row r="6" spans="1:2" x14ac:dyDescent="0.3">
      <c r="A6" t="s">
        <v>199</v>
      </c>
    </row>
    <row r="7" spans="1:2" x14ac:dyDescent="0.3">
      <c r="A7" t="s">
        <v>191</v>
      </c>
    </row>
    <row r="8" spans="1:2" x14ac:dyDescent="0.3">
      <c r="A8" t="s">
        <v>183</v>
      </c>
    </row>
    <row r="9" spans="1:2" x14ac:dyDescent="0.3">
      <c r="A9" t="s">
        <v>203</v>
      </c>
    </row>
    <row r="10" spans="1:2" x14ac:dyDescent="0.3">
      <c r="A10" t="s">
        <v>192</v>
      </c>
    </row>
    <row r="11" spans="1:2" x14ac:dyDescent="0.3">
      <c r="A11" t="s">
        <v>182</v>
      </c>
    </row>
    <row r="12" spans="1:2" x14ac:dyDescent="0.3">
      <c r="A12" t="s">
        <v>194</v>
      </c>
    </row>
    <row r="13" spans="1:2" x14ac:dyDescent="0.3">
      <c r="A13" t="s">
        <v>186</v>
      </c>
    </row>
    <row r="14" spans="1:2" x14ac:dyDescent="0.3">
      <c r="A14" t="s">
        <v>214</v>
      </c>
    </row>
    <row r="15" spans="1:2" x14ac:dyDescent="0.3">
      <c r="A15" t="s">
        <v>202</v>
      </c>
    </row>
    <row r="16" spans="1:2" x14ac:dyDescent="0.3">
      <c r="A16" t="s">
        <v>195</v>
      </c>
    </row>
    <row r="17" spans="1:1" x14ac:dyDescent="0.3">
      <c r="A17" t="s">
        <v>179</v>
      </c>
    </row>
    <row r="18" spans="1:1" x14ac:dyDescent="0.3">
      <c r="A18" t="s">
        <v>204</v>
      </c>
    </row>
    <row r="19" spans="1:1" x14ac:dyDescent="0.3">
      <c r="A19" t="s">
        <v>213</v>
      </c>
    </row>
    <row r="20" spans="1:1" x14ac:dyDescent="0.3">
      <c r="A20" t="s">
        <v>189</v>
      </c>
    </row>
    <row r="21" spans="1:1" x14ac:dyDescent="0.3">
      <c r="A21" t="s">
        <v>180</v>
      </c>
    </row>
    <row r="22" spans="1:1" x14ac:dyDescent="0.3">
      <c r="A22" t="s">
        <v>187</v>
      </c>
    </row>
    <row r="23" spans="1:1" x14ac:dyDescent="0.3">
      <c r="A23" t="s">
        <v>198</v>
      </c>
    </row>
    <row r="24" spans="1:1" x14ac:dyDescent="0.3">
      <c r="A24" t="s">
        <v>201</v>
      </c>
    </row>
    <row r="25" spans="1:1" x14ac:dyDescent="0.3">
      <c r="A25" t="s">
        <v>196</v>
      </c>
    </row>
    <row r="26" spans="1:1" x14ac:dyDescent="0.3">
      <c r="A26" t="s">
        <v>215</v>
      </c>
    </row>
    <row r="27" spans="1:1" x14ac:dyDescent="0.3">
      <c r="A27" t="s">
        <v>211</v>
      </c>
    </row>
    <row r="28" spans="1:1" x14ac:dyDescent="0.3">
      <c r="A28" t="s">
        <v>216</v>
      </c>
    </row>
    <row r="29" spans="1:1" x14ac:dyDescent="0.3">
      <c r="A29" t="s">
        <v>210</v>
      </c>
    </row>
    <row r="30" spans="1:1" x14ac:dyDescent="0.3">
      <c r="A30" t="s">
        <v>205</v>
      </c>
    </row>
    <row r="31" spans="1:1" x14ac:dyDescent="0.3">
      <c r="A31" t="s">
        <v>197</v>
      </c>
    </row>
    <row r="32" spans="1:1" x14ac:dyDescent="0.3">
      <c r="A32" t="s">
        <v>185</v>
      </c>
    </row>
    <row r="33" spans="1:1" x14ac:dyDescent="0.3">
      <c r="A33" t="s">
        <v>206</v>
      </c>
    </row>
    <row r="34" spans="1:1" x14ac:dyDescent="0.3">
      <c r="A34" t="s">
        <v>193</v>
      </c>
    </row>
    <row r="35" spans="1:1" x14ac:dyDescent="0.3">
      <c r="A35" t="s">
        <v>184</v>
      </c>
    </row>
    <row r="36" spans="1:1" x14ac:dyDescent="0.3">
      <c r="A36" t="s">
        <v>190</v>
      </c>
    </row>
    <row r="37" spans="1:1" x14ac:dyDescent="0.3">
      <c r="A37" t="s">
        <v>200</v>
      </c>
    </row>
    <row r="38" spans="1:1" x14ac:dyDescent="0.3">
      <c r="A38" t="s">
        <v>207</v>
      </c>
    </row>
    <row r="39" spans="1:1" x14ac:dyDescent="0.3">
      <c r="A39" t="s">
        <v>212</v>
      </c>
    </row>
    <row r="40" spans="1:1" x14ac:dyDescent="0.3">
      <c r="A40" t="s">
        <v>208</v>
      </c>
    </row>
    <row r="41" spans="1:1" x14ac:dyDescent="0.3">
      <c r="A41" t="s">
        <v>181</v>
      </c>
    </row>
    <row r="42" spans="1:1" x14ac:dyDescent="0.3">
      <c r="A42" t="s">
        <v>209</v>
      </c>
    </row>
  </sheetData>
  <sortState xmlns:xlrd2="http://schemas.microsoft.com/office/spreadsheetml/2017/richdata2" ref="A3:A44">
    <sortCondition ref="A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2"/>
  <sheetViews>
    <sheetView workbookViewId="0">
      <selection activeCell="H37" sqref="H37"/>
    </sheetView>
  </sheetViews>
  <sheetFormatPr defaultRowHeight="14.4" x14ac:dyDescent="0.3"/>
  <cols>
    <col min="1" max="1" width="12.6640625" customWidth="1"/>
    <col min="2" max="2" width="12.33203125" customWidth="1"/>
    <col min="3" max="3" width="14.44140625" customWidth="1"/>
  </cols>
  <sheetData>
    <row r="1" spans="1:3" x14ac:dyDescent="0.3">
      <c r="A1" s="1" t="s">
        <v>164</v>
      </c>
      <c r="B1" s="1" t="s">
        <v>165</v>
      </c>
      <c r="C1" s="1" t="s">
        <v>178</v>
      </c>
    </row>
    <row r="2" spans="1:3" x14ac:dyDescent="0.3">
      <c r="A2" t="s">
        <v>166</v>
      </c>
      <c r="B2">
        <v>233</v>
      </c>
      <c r="C2">
        <f>B2*100/$B$132</f>
        <v>4.4618919954040601</v>
      </c>
    </row>
    <row r="3" spans="1:3" x14ac:dyDescent="0.3">
      <c r="A3" t="s">
        <v>113</v>
      </c>
      <c r="B3">
        <v>150</v>
      </c>
      <c r="C3">
        <f t="shared" ref="C3:C66" si="0">B3*100/$B$132</f>
        <v>2.8724626579854462</v>
      </c>
    </row>
    <row r="4" spans="1:3" x14ac:dyDescent="0.3">
      <c r="A4" t="s">
        <v>153</v>
      </c>
      <c r="B4">
        <v>126</v>
      </c>
      <c r="C4">
        <f t="shared" si="0"/>
        <v>2.4128686327077746</v>
      </c>
    </row>
    <row r="5" spans="1:3" x14ac:dyDescent="0.3">
      <c r="A5" t="s">
        <v>53</v>
      </c>
      <c r="B5">
        <v>121</v>
      </c>
      <c r="C5">
        <f t="shared" si="0"/>
        <v>2.3171198774415931</v>
      </c>
    </row>
    <row r="6" spans="1:3" x14ac:dyDescent="0.3">
      <c r="A6" t="s">
        <v>77</v>
      </c>
      <c r="B6">
        <v>118</v>
      </c>
      <c r="C6">
        <f t="shared" si="0"/>
        <v>2.2596706242818843</v>
      </c>
    </row>
    <row r="7" spans="1:3" x14ac:dyDescent="0.3">
      <c r="A7" t="s">
        <v>126</v>
      </c>
      <c r="B7">
        <v>100</v>
      </c>
      <c r="C7">
        <f t="shared" si="0"/>
        <v>1.9149751053236308</v>
      </c>
    </row>
    <row r="8" spans="1:3" x14ac:dyDescent="0.3">
      <c r="A8" t="s">
        <v>83</v>
      </c>
      <c r="B8">
        <v>86</v>
      </c>
      <c r="C8">
        <f t="shared" si="0"/>
        <v>1.6468785905783225</v>
      </c>
    </row>
    <row r="9" spans="1:3" x14ac:dyDescent="0.3">
      <c r="A9" t="s">
        <v>42</v>
      </c>
      <c r="B9">
        <v>82</v>
      </c>
      <c r="C9">
        <f t="shared" si="0"/>
        <v>1.5702795863653773</v>
      </c>
    </row>
    <row r="10" spans="1:3" x14ac:dyDescent="0.3">
      <c r="A10" t="s">
        <v>76</v>
      </c>
      <c r="B10">
        <v>80</v>
      </c>
      <c r="C10">
        <f t="shared" si="0"/>
        <v>1.5319800842589046</v>
      </c>
    </row>
    <row r="11" spans="1:3" x14ac:dyDescent="0.3">
      <c r="A11" t="s">
        <v>163</v>
      </c>
      <c r="B11">
        <v>73</v>
      </c>
      <c r="C11">
        <f t="shared" si="0"/>
        <v>1.3979318268862504</v>
      </c>
    </row>
    <row r="12" spans="1:3" x14ac:dyDescent="0.3">
      <c r="A12" t="s">
        <v>38</v>
      </c>
      <c r="B12">
        <v>72</v>
      </c>
      <c r="C12">
        <f t="shared" si="0"/>
        <v>1.3787820758330143</v>
      </c>
    </row>
    <row r="13" spans="1:3" x14ac:dyDescent="0.3">
      <c r="A13" t="s">
        <v>137</v>
      </c>
      <c r="B13">
        <v>70</v>
      </c>
      <c r="C13">
        <f t="shared" si="0"/>
        <v>1.3404825737265416</v>
      </c>
    </row>
    <row r="14" spans="1:3" x14ac:dyDescent="0.3">
      <c r="A14" t="s">
        <v>152</v>
      </c>
      <c r="B14">
        <v>70</v>
      </c>
      <c r="C14">
        <f t="shared" si="0"/>
        <v>1.3404825737265416</v>
      </c>
    </row>
    <row r="15" spans="1:3" x14ac:dyDescent="0.3">
      <c r="A15" t="s">
        <v>167</v>
      </c>
      <c r="B15">
        <v>66</v>
      </c>
      <c r="C15">
        <f t="shared" si="0"/>
        <v>1.2638835695135964</v>
      </c>
    </row>
    <row r="16" spans="1:3" x14ac:dyDescent="0.3">
      <c r="A16" t="s">
        <v>123</v>
      </c>
      <c r="B16">
        <v>59</v>
      </c>
      <c r="C16">
        <f t="shared" si="0"/>
        <v>1.1298353121409421</v>
      </c>
    </row>
    <row r="17" spans="1:3" x14ac:dyDescent="0.3">
      <c r="A17" t="s">
        <v>140</v>
      </c>
      <c r="B17">
        <v>53</v>
      </c>
      <c r="C17">
        <f t="shared" si="0"/>
        <v>1.0149368058215242</v>
      </c>
    </row>
    <row r="18" spans="1:3" x14ac:dyDescent="0.3">
      <c r="A18" t="s">
        <v>43</v>
      </c>
      <c r="B18">
        <v>50</v>
      </c>
      <c r="C18">
        <f t="shared" si="0"/>
        <v>0.9574875526618154</v>
      </c>
    </row>
    <row r="19" spans="1:3" x14ac:dyDescent="0.3">
      <c r="A19" t="s">
        <v>44</v>
      </c>
      <c r="B19">
        <v>50</v>
      </c>
      <c r="C19">
        <f t="shared" si="0"/>
        <v>0.9574875526618154</v>
      </c>
    </row>
    <row r="20" spans="1:3" x14ac:dyDescent="0.3">
      <c r="A20" t="s">
        <v>50</v>
      </c>
      <c r="B20">
        <v>50</v>
      </c>
      <c r="C20">
        <f t="shared" si="0"/>
        <v>0.9574875526618154</v>
      </c>
    </row>
    <row r="21" spans="1:3" x14ac:dyDescent="0.3">
      <c r="A21" t="s">
        <v>51</v>
      </c>
      <c r="B21">
        <v>50</v>
      </c>
      <c r="C21">
        <f t="shared" si="0"/>
        <v>0.9574875526618154</v>
      </c>
    </row>
    <row r="22" spans="1:3" x14ac:dyDescent="0.3">
      <c r="A22" t="s">
        <v>58</v>
      </c>
      <c r="B22">
        <v>50</v>
      </c>
      <c r="C22">
        <f t="shared" si="0"/>
        <v>0.9574875526618154</v>
      </c>
    </row>
    <row r="23" spans="1:3" x14ac:dyDescent="0.3">
      <c r="A23" t="s">
        <v>59</v>
      </c>
      <c r="B23">
        <v>50</v>
      </c>
      <c r="C23">
        <f t="shared" si="0"/>
        <v>0.9574875526618154</v>
      </c>
    </row>
    <row r="24" spans="1:3" x14ac:dyDescent="0.3">
      <c r="A24" t="s">
        <v>63</v>
      </c>
      <c r="B24">
        <v>50</v>
      </c>
      <c r="C24">
        <f t="shared" si="0"/>
        <v>0.9574875526618154</v>
      </c>
    </row>
    <row r="25" spans="1:3" x14ac:dyDescent="0.3">
      <c r="A25" t="s">
        <v>64</v>
      </c>
      <c r="B25">
        <v>50</v>
      </c>
      <c r="C25">
        <f t="shared" si="0"/>
        <v>0.9574875526618154</v>
      </c>
    </row>
    <row r="26" spans="1:3" x14ac:dyDescent="0.3">
      <c r="A26" t="s">
        <v>65</v>
      </c>
      <c r="B26">
        <v>50</v>
      </c>
      <c r="C26">
        <f t="shared" si="0"/>
        <v>0.9574875526618154</v>
      </c>
    </row>
    <row r="27" spans="1:3" x14ac:dyDescent="0.3">
      <c r="A27" t="s">
        <v>67</v>
      </c>
      <c r="B27">
        <v>50</v>
      </c>
      <c r="C27">
        <f t="shared" si="0"/>
        <v>0.9574875526618154</v>
      </c>
    </row>
    <row r="28" spans="1:3" x14ac:dyDescent="0.3">
      <c r="A28" t="s">
        <v>74</v>
      </c>
      <c r="B28">
        <v>50</v>
      </c>
      <c r="C28">
        <f t="shared" si="0"/>
        <v>0.9574875526618154</v>
      </c>
    </row>
    <row r="29" spans="1:3" x14ac:dyDescent="0.3">
      <c r="A29" t="s">
        <v>78</v>
      </c>
      <c r="B29">
        <v>50</v>
      </c>
      <c r="C29">
        <f t="shared" si="0"/>
        <v>0.9574875526618154</v>
      </c>
    </row>
    <row r="30" spans="1:3" x14ac:dyDescent="0.3">
      <c r="A30" t="s">
        <v>82</v>
      </c>
      <c r="B30">
        <v>50</v>
      </c>
      <c r="C30">
        <f t="shared" si="0"/>
        <v>0.9574875526618154</v>
      </c>
    </row>
    <row r="31" spans="1:3" x14ac:dyDescent="0.3">
      <c r="A31" t="s">
        <v>87</v>
      </c>
      <c r="B31">
        <v>50</v>
      </c>
      <c r="C31">
        <f t="shared" si="0"/>
        <v>0.9574875526618154</v>
      </c>
    </row>
    <row r="32" spans="1:3" x14ac:dyDescent="0.3">
      <c r="A32" t="s">
        <v>94</v>
      </c>
      <c r="B32">
        <v>50</v>
      </c>
      <c r="C32">
        <f t="shared" si="0"/>
        <v>0.9574875526618154</v>
      </c>
    </row>
    <row r="33" spans="1:3" x14ac:dyDescent="0.3">
      <c r="A33" t="s">
        <v>96</v>
      </c>
      <c r="B33">
        <v>50</v>
      </c>
      <c r="C33">
        <f t="shared" si="0"/>
        <v>0.9574875526618154</v>
      </c>
    </row>
    <row r="34" spans="1:3" x14ac:dyDescent="0.3">
      <c r="A34" t="s">
        <v>108</v>
      </c>
      <c r="B34">
        <v>50</v>
      </c>
      <c r="C34">
        <f t="shared" si="0"/>
        <v>0.9574875526618154</v>
      </c>
    </row>
    <row r="35" spans="1:3" x14ac:dyDescent="0.3">
      <c r="A35" t="s">
        <v>114</v>
      </c>
      <c r="B35">
        <v>50</v>
      </c>
      <c r="C35">
        <f t="shared" si="0"/>
        <v>0.9574875526618154</v>
      </c>
    </row>
    <row r="36" spans="1:3" x14ac:dyDescent="0.3">
      <c r="A36" t="s">
        <v>121</v>
      </c>
      <c r="B36">
        <v>50</v>
      </c>
      <c r="C36">
        <f t="shared" si="0"/>
        <v>0.9574875526618154</v>
      </c>
    </row>
    <row r="37" spans="1:3" x14ac:dyDescent="0.3">
      <c r="A37" t="s">
        <v>122</v>
      </c>
      <c r="B37">
        <v>50</v>
      </c>
      <c r="C37">
        <f t="shared" si="0"/>
        <v>0.9574875526618154</v>
      </c>
    </row>
    <row r="38" spans="1:3" x14ac:dyDescent="0.3">
      <c r="A38" t="s">
        <v>125</v>
      </c>
      <c r="B38">
        <v>50</v>
      </c>
      <c r="C38">
        <f t="shared" si="0"/>
        <v>0.9574875526618154</v>
      </c>
    </row>
    <row r="39" spans="1:3" x14ac:dyDescent="0.3">
      <c r="A39" t="s">
        <v>128</v>
      </c>
      <c r="B39">
        <v>50</v>
      </c>
      <c r="C39">
        <f t="shared" si="0"/>
        <v>0.9574875526618154</v>
      </c>
    </row>
    <row r="40" spans="1:3" x14ac:dyDescent="0.3">
      <c r="A40" t="s">
        <v>129</v>
      </c>
      <c r="B40">
        <v>50</v>
      </c>
      <c r="C40">
        <f t="shared" si="0"/>
        <v>0.9574875526618154</v>
      </c>
    </row>
    <row r="41" spans="1:3" x14ac:dyDescent="0.3">
      <c r="A41" t="s">
        <v>135</v>
      </c>
      <c r="B41">
        <v>50</v>
      </c>
      <c r="C41">
        <f t="shared" si="0"/>
        <v>0.9574875526618154</v>
      </c>
    </row>
    <row r="42" spans="1:3" x14ac:dyDescent="0.3">
      <c r="A42" t="s">
        <v>136</v>
      </c>
      <c r="B42">
        <v>50</v>
      </c>
      <c r="C42">
        <f t="shared" si="0"/>
        <v>0.9574875526618154</v>
      </c>
    </row>
    <row r="43" spans="1:3" x14ac:dyDescent="0.3">
      <c r="A43" t="s">
        <v>138</v>
      </c>
      <c r="B43">
        <v>50</v>
      </c>
      <c r="C43">
        <f t="shared" si="0"/>
        <v>0.9574875526618154</v>
      </c>
    </row>
    <row r="44" spans="1:3" x14ac:dyDescent="0.3">
      <c r="A44" t="s">
        <v>142</v>
      </c>
      <c r="B44">
        <v>50</v>
      </c>
      <c r="C44">
        <f t="shared" si="0"/>
        <v>0.9574875526618154</v>
      </c>
    </row>
    <row r="45" spans="1:3" x14ac:dyDescent="0.3">
      <c r="A45" t="s">
        <v>149</v>
      </c>
      <c r="B45">
        <v>50</v>
      </c>
      <c r="C45">
        <f t="shared" si="0"/>
        <v>0.9574875526618154</v>
      </c>
    </row>
    <row r="46" spans="1:3" x14ac:dyDescent="0.3">
      <c r="A46" t="s">
        <v>158</v>
      </c>
      <c r="B46">
        <v>50</v>
      </c>
      <c r="C46">
        <f t="shared" si="0"/>
        <v>0.9574875526618154</v>
      </c>
    </row>
    <row r="47" spans="1:3" x14ac:dyDescent="0.3">
      <c r="A47" t="s">
        <v>160</v>
      </c>
      <c r="B47">
        <v>50</v>
      </c>
      <c r="C47">
        <f t="shared" si="0"/>
        <v>0.9574875526618154</v>
      </c>
    </row>
    <row r="48" spans="1:3" x14ac:dyDescent="0.3">
      <c r="A48" t="s">
        <v>161</v>
      </c>
      <c r="B48">
        <v>50</v>
      </c>
      <c r="C48">
        <f t="shared" si="0"/>
        <v>0.9574875526618154</v>
      </c>
    </row>
    <row r="49" spans="1:3" x14ac:dyDescent="0.3">
      <c r="A49" t="s">
        <v>75</v>
      </c>
      <c r="B49">
        <v>45</v>
      </c>
      <c r="C49">
        <f t="shared" si="0"/>
        <v>0.86173879739563386</v>
      </c>
    </row>
    <row r="50" spans="1:3" x14ac:dyDescent="0.3">
      <c r="A50" t="s">
        <v>66</v>
      </c>
      <c r="B50">
        <v>43</v>
      </c>
      <c r="C50">
        <f t="shared" si="0"/>
        <v>0.82343929528916127</v>
      </c>
    </row>
    <row r="51" spans="1:3" x14ac:dyDescent="0.3">
      <c r="A51" t="s">
        <v>54</v>
      </c>
      <c r="B51">
        <v>40</v>
      </c>
      <c r="C51">
        <f t="shared" si="0"/>
        <v>0.76599004212945232</v>
      </c>
    </row>
    <row r="52" spans="1:3" x14ac:dyDescent="0.3">
      <c r="A52" t="s">
        <v>119</v>
      </c>
      <c r="B52">
        <v>40</v>
      </c>
      <c r="C52">
        <f t="shared" si="0"/>
        <v>0.76599004212945232</v>
      </c>
    </row>
    <row r="53" spans="1:3" x14ac:dyDescent="0.3">
      <c r="A53" t="s">
        <v>52</v>
      </c>
      <c r="B53">
        <v>36</v>
      </c>
      <c r="C53">
        <f t="shared" si="0"/>
        <v>0.68939103791650713</v>
      </c>
    </row>
    <row r="54" spans="1:3" x14ac:dyDescent="0.3">
      <c r="A54" t="s">
        <v>157</v>
      </c>
      <c r="B54">
        <v>36</v>
      </c>
      <c r="C54">
        <f t="shared" si="0"/>
        <v>0.68939103791650713</v>
      </c>
    </row>
    <row r="55" spans="1:3" x14ac:dyDescent="0.3">
      <c r="A55" t="s">
        <v>110</v>
      </c>
      <c r="B55">
        <v>33</v>
      </c>
      <c r="C55">
        <f t="shared" si="0"/>
        <v>0.63194178475679819</v>
      </c>
    </row>
    <row r="56" spans="1:3" x14ac:dyDescent="0.3">
      <c r="A56" t="s">
        <v>117</v>
      </c>
      <c r="B56">
        <v>33</v>
      </c>
      <c r="C56">
        <f t="shared" si="0"/>
        <v>0.63194178475679819</v>
      </c>
    </row>
    <row r="57" spans="1:3" x14ac:dyDescent="0.3">
      <c r="A57" t="s">
        <v>40</v>
      </c>
      <c r="B57">
        <v>30</v>
      </c>
      <c r="C57">
        <f t="shared" si="0"/>
        <v>0.57449253159708924</v>
      </c>
    </row>
    <row r="58" spans="1:3" x14ac:dyDescent="0.3">
      <c r="A58" t="s">
        <v>45</v>
      </c>
      <c r="B58">
        <v>30</v>
      </c>
      <c r="C58">
        <f t="shared" si="0"/>
        <v>0.57449253159708924</v>
      </c>
    </row>
    <row r="59" spans="1:3" x14ac:dyDescent="0.3">
      <c r="A59" t="s">
        <v>46</v>
      </c>
      <c r="B59">
        <v>30</v>
      </c>
      <c r="C59">
        <f t="shared" si="0"/>
        <v>0.57449253159708924</v>
      </c>
    </row>
    <row r="60" spans="1:3" x14ac:dyDescent="0.3">
      <c r="A60" t="s">
        <v>48</v>
      </c>
      <c r="B60">
        <v>30</v>
      </c>
      <c r="C60">
        <f t="shared" si="0"/>
        <v>0.57449253159708924</v>
      </c>
    </row>
    <row r="61" spans="1:3" x14ac:dyDescent="0.3">
      <c r="A61" t="s">
        <v>56</v>
      </c>
      <c r="B61">
        <v>30</v>
      </c>
      <c r="C61">
        <f t="shared" si="0"/>
        <v>0.57449253159708924</v>
      </c>
    </row>
    <row r="62" spans="1:3" x14ac:dyDescent="0.3">
      <c r="A62" t="s">
        <v>61</v>
      </c>
      <c r="B62">
        <v>30</v>
      </c>
      <c r="C62">
        <f t="shared" si="0"/>
        <v>0.57449253159708924</v>
      </c>
    </row>
    <row r="63" spans="1:3" x14ac:dyDescent="0.3">
      <c r="A63" t="s">
        <v>68</v>
      </c>
      <c r="B63">
        <v>30</v>
      </c>
      <c r="C63">
        <f t="shared" si="0"/>
        <v>0.57449253159708924</v>
      </c>
    </row>
    <row r="64" spans="1:3" x14ac:dyDescent="0.3">
      <c r="A64" t="s">
        <v>70</v>
      </c>
      <c r="B64">
        <v>30</v>
      </c>
      <c r="C64">
        <f t="shared" si="0"/>
        <v>0.57449253159708924</v>
      </c>
    </row>
    <row r="65" spans="1:3" x14ac:dyDescent="0.3">
      <c r="A65" t="s">
        <v>71</v>
      </c>
      <c r="B65">
        <v>30</v>
      </c>
      <c r="C65">
        <f t="shared" si="0"/>
        <v>0.57449253159708924</v>
      </c>
    </row>
    <row r="66" spans="1:3" x14ac:dyDescent="0.3">
      <c r="A66" t="s">
        <v>72</v>
      </c>
      <c r="B66">
        <v>30</v>
      </c>
      <c r="C66">
        <f t="shared" si="0"/>
        <v>0.57449253159708924</v>
      </c>
    </row>
    <row r="67" spans="1:3" x14ac:dyDescent="0.3">
      <c r="A67" t="s">
        <v>80</v>
      </c>
      <c r="B67">
        <v>30</v>
      </c>
      <c r="C67">
        <f t="shared" ref="C67:C130" si="1">B67*100/$B$132</f>
        <v>0.57449253159708924</v>
      </c>
    </row>
    <row r="68" spans="1:3" x14ac:dyDescent="0.3">
      <c r="A68" t="s">
        <v>84</v>
      </c>
      <c r="B68">
        <v>30</v>
      </c>
      <c r="C68">
        <f t="shared" si="1"/>
        <v>0.57449253159708924</v>
      </c>
    </row>
    <row r="69" spans="1:3" x14ac:dyDescent="0.3">
      <c r="A69" t="s">
        <v>91</v>
      </c>
      <c r="B69">
        <v>30</v>
      </c>
      <c r="C69">
        <f t="shared" si="1"/>
        <v>0.57449253159708924</v>
      </c>
    </row>
    <row r="70" spans="1:3" x14ac:dyDescent="0.3">
      <c r="A70" t="s">
        <v>95</v>
      </c>
      <c r="B70">
        <v>30</v>
      </c>
      <c r="C70">
        <f t="shared" si="1"/>
        <v>0.57449253159708924</v>
      </c>
    </row>
    <row r="71" spans="1:3" x14ac:dyDescent="0.3">
      <c r="A71" t="s">
        <v>109</v>
      </c>
      <c r="B71">
        <v>30</v>
      </c>
      <c r="C71">
        <f t="shared" si="1"/>
        <v>0.57449253159708924</v>
      </c>
    </row>
    <row r="72" spans="1:3" x14ac:dyDescent="0.3">
      <c r="A72" t="s">
        <v>120</v>
      </c>
      <c r="B72">
        <v>30</v>
      </c>
      <c r="C72">
        <f t="shared" si="1"/>
        <v>0.57449253159708924</v>
      </c>
    </row>
    <row r="73" spans="1:3" x14ac:dyDescent="0.3">
      <c r="A73" t="s">
        <v>124</v>
      </c>
      <c r="B73">
        <v>30</v>
      </c>
      <c r="C73">
        <f t="shared" si="1"/>
        <v>0.57449253159708924</v>
      </c>
    </row>
    <row r="74" spans="1:3" x14ac:dyDescent="0.3">
      <c r="A74" t="s">
        <v>139</v>
      </c>
      <c r="B74">
        <v>30</v>
      </c>
      <c r="C74">
        <f t="shared" si="1"/>
        <v>0.57449253159708924</v>
      </c>
    </row>
    <row r="75" spans="1:3" x14ac:dyDescent="0.3">
      <c r="A75" t="s">
        <v>141</v>
      </c>
      <c r="B75">
        <v>30</v>
      </c>
      <c r="C75">
        <f t="shared" si="1"/>
        <v>0.57449253159708924</v>
      </c>
    </row>
    <row r="76" spans="1:3" x14ac:dyDescent="0.3">
      <c r="A76" t="s">
        <v>154</v>
      </c>
      <c r="B76">
        <v>30</v>
      </c>
      <c r="C76">
        <f t="shared" si="1"/>
        <v>0.57449253159708924</v>
      </c>
    </row>
    <row r="77" spans="1:3" x14ac:dyDescent="0.3">
      <c r="A77" t="s">
        <v>131</v>
      </c>
      <c r="B77">
        <v>26</v>
      </c>
      <c r="C77">
        <f t="shared" si="1"/>
        <v>0.497893527384144</v>
      </c>
    </row>
    <row r="78" spans="1:3" x14ac:dyDescent="0.3">
      <c r="A78" t="s">
        <v>112</v>
      </c>
      <c r="B78">
        <v>25</v>
      </c>
      <c r="C78">
        <f t="shared" si="1"/>
        <v>0.4787437763309077</v>
      </c>
    </row>
    <row r="79" spans="1:3" x14ac:dyDescent="0.3">
      <c r="A79" t="s">
        <v>36</v>
      </c>
      <c r="B79">
        <v>23</v>
      </c>
      <c r="C79">
        <f t="shared" si="1"/>
        <v>0.44044427422443511</v>
      </c>
    </row>
    <row r="80" spans="1:3" x14ac:dyDescent="0.3">
      <c r="A80" t="s">
        <v>37</v>
      </c>
      <c r="B80">
        <v>23</v>
      </c>
      <c r="C80">
        <f t="shared" si="1"/>
        <v>0.44044427422443511</v>
      </c>
    </row>
    <row r="81" spans="1:3" x14ac:dyDescent="0.3">
      <c r="A81" t="s">
        <v>39</v>
      </c>
      <c r="B81">
        <v>23</v>
      </c>
      <c r="C81">
        <f t="shared" si="1"/>
        <v>0.44044427422443511</v>
      </c>
    </row>
    <row r="82" spans="1:3" x14ac:dyDescent="0.3">
      <c r="A82" t="s">
        <v>41</v>
      </c>
      <c r="B82">
        <v>23</v>
      </c>
      <c r="C82">
        <f t="shared" si="1"/>
        <v>0.44044427422443511</v>
      </c>
    </row>
    <row r="83" spans="1:3" x14ac:dyDescent="0.3">
      <c r="A83" t="s">
        <v>47</v>
      </c>
      <c r="B83">
        <v>23</v>
      </c>
      <c r="C83">
        <f t="shared" si="1"/>
        <v>0.44044427422443511</v>
      </c>
    </row>
    <row r="84" spans="1:3" x14ac:dyDescent="0.3">
      <c r="A84" t="s">
        <v>55</v>
      </c>
      <c r="B84">
        <v>23</v>
      </c>
      <c r="C84">
        <f t="shared" si="1"/>
        <v>0.44044427422443511</v>
      </c>
    </row>
    <row r="85" spans="1:3" x14ac:dyDescent="0.3">
      <c r="A85" t="s">
        <v>73</v>
      </c>
      <c r="B85">
        <v>23</v>
      </c>
      <c r="C85">
        <f t="shared" si="1"/>
        <v>0.44044427422443511</v>
      </c>
    </row>
    <row r="86" spans="1:3" x14ac:dyDescent="0.3">
      <c r="A86" t="s">
        <v>81</v>
      </c>
      <c r="B86">
        <v>23</v>
      </c>
      <c r="C86">
        <f t="shared" si="1"/>
        <v>0.44044427422443511</v>
      </c>
    </row>
    <row r="87" spans="1:3" x14ac:dyDescent="0.3">
      <c r="A87" t="s">
        <v>85</v>
      </c>
      <c r="B87">
        <v>23</v>
      </c>
      <c r="C87">
        <f t="shared" si="1"/>
        <v>0.44044427422443511</v>
      </c>
    </row>
    <row r="88" spans="1:3" x14ac:dyDescent="0.3">
      <c r="A88" t="s">
        <v>86</v>
      </c>
      <c r="B88">
        <v>23</v>
      </c>
      <c r="C88">
        <f t="shared" si="1"/>
        <v>0.44044427422443511</v>
      </c>
    </row>
    <row r="89" spans="1:3" x14ac:dyDescent="0.3">
      <c r="A89" t="s">
        <v>88</v>
      </c>
      <c r="B89">
        <v>23</v>
      </c>
      <c r="C89">
        <f t="shared" si="1"/>
        <v>0.44044427422443511</v>
      </c>
    </row>
    <row r="90" spans="1:3" x14ac:dyDescent="0.3">
      <c r="A90" t="s">
        <v>89</v>
      </c>
      <c r="B90">
        <v>23</v>
      </c>
      <c r="C90">
        <f t="shared" si="1"/>
        <v>0.44044427422443511</v>
      </c>
    </row>
    <row r="91" spans="1:3" x14ac:dyDescent="0.3">
      <c r="A91" t="s">
        <v>97</v>
      </c>
      <c r="B91">
        <v>23</v>
      </c>
      <c r="C91">
        <f t="shared" si="1"/>
        <v>0.44044427422443511</v>
      </c>
    </row>
    <row r="92" spans="1:3" x14ac:dyDescent="0.3">
      <c r="A92" t="s">
        <v>99</v>
      </c>
      <c r="B92">
        <v>23</v>
      </c>
      <c r="C92">
        <f t="shared" si="1"/>
        <v>0.44044427422443511</v>
      </c>
    </row>
    <row r="93" spans="1:3" x14ac:dyDescent="0.3">
      <c r="A93" t="s">
        <v>100</v>
      </c>
      <c r="B93">
        <v>23</v>
      </c>
      <c r="C93">
        <f t="shared" si="1"/>
        <v>0.44044427422443511</v>
      </c>
    </row>
    <row r="94" spans="1:3" x14ac:dyDescent="0.3">
      <c r="A94" t="s">
        <v>104</v>
      </c>
      <c r="B94">
        <v>23</v>
      </c>
      <c r="C94">
        <f t="shared" si="1"/>
        <v>0.44044427422443511</v>
      </c>
    </row>
    <row r="95" spans="1:3" x14ac:dyDescent="0.3">
      <c r="A95" t="s">
        <v>106</v>
      </c>
      <c r="B95">
        <v>23</v>
      </c>
      <c r="C95">
        <f t="shared" si="1"/>
        <v>0.44044427422443511</v>
      </c>
    </row>
    <row r="96" spans="1:3" x14ac:dyDescent="0.3">
      <c r="A96" t="s">
        <v>107</v>
      </c>
      <c r="B96">
        <v>23</v>
      </c>
      <c r="C96">
        <f t="shared" si="1"/>
        <v>0.44044427422443511</v>
      </c>
    </row>
    <row r="97" spans="1:3" x14ac:dyDescent="0.3">
      <c r="A97" t="s">
        <v>116</v>
      </c>
      <c r="B97">
        <v>23</v>
      </c>
      <c r="C97">
        <f t="shared" si="1"/>
        <v>0.44044427422443511</v>
      </c>
    </row>
    <row r="98" spans="1:3" x14ac:dyDescent="0.3">
      <c r="A98" t="s">
        <v>118</v>
      </c>
      <c r="B98">
        <v>23</v>
      </c>
      <c r="C98">
        <f t="shared" si="1"/>
        <v>0.44044427422443511</v>
      </c>
    </row>
    <row r="99" spans="1:3" x14ac:dyDescent="0.3">
      <c r="A99" t="s">
        <v>127</v>
      </c>
      <c r="B99">
        <v>23</v>
      </c>
      <c r="C99">
        <f t="shared" si="1"/>
        <v>0.44044427422443511</v>
      </c>
    </row>
    <row r="100" spans="1:3" x14ac:dyDescent="0.3">
      <c r="A100" t="s">
        <v>130</v>
      </c>
      <c r="B100">
        <v>23</v>
      </c>
      <c r="C100">
        <f t="shared" si="1"/>
        <v>0.44044427422443511</v>
      </c>
    </row>
    <row r="101" spans="1:3" x14ac:dyDescent="0.3">
      <c r="A101" t="s">
        <v>133</v>
      </c>
      <c r="B101">
        <v>23</v>
      </c>
      <c r="C101">
        <f t="shared" si="1"/>
        <v>0.44044427422443511</v>
      </c>
    </row>
    <row r="102" spans="1:3" x14ac:dyDescent="0.3">
      <c r="A102" t="s">
        <v>134</v>
      </c>
      <c r="B102">
        <v>23</v>
      </c>
      <c r="C102">
        <f t="shared" si="1"/>
        <v>0.44044427422443511</v>
      </c>
    </row>
    <row r="103" spans="1:3" x14ac:dyDescent="0.3">
      <c r="A103" t="s">
        <v>143</v>
      </c>
      <c r="B103">
        <v>23</v>
      </c>
      <c r="C103">
        <f t="shared" si="1"/>
        <v>0.44044427422443511</v>
      </c>
    </row>
    <row r="104" spans="1:3" x14ac:dyDescent="0.3">
      <c r="A104" t="s">
        <v>144</v>
      </c>
      <c r="B104">
        <v>23</v>
      </c>
      <c r="C104">
        <f t="shared" si="1"/>
        <v>0.44044427422443511</v>
      </c>
    </row>
    <row r="105" spans="1:3" x14ac:dyDescent="0.3">
      <c r="A105" t="s">
        <v>145</v>
      </c>
      <c r="B105">
        <v>23</v>
      </c>
      <c r="C105">
        <f t="shared" si="1"/>
        <v>0.44044427422443511</v>
      </c>
    </row>
    <row r="106" spans="1:3" x14ac:dyDescent="0.3">
      <c r="A106" t="s">
        <v>147</v>
      </c>
      <c r="B106">
        <v>23</v>
      </c>
      <c r="C106">
        <f t="shared" si="1"/>
        <v>0.44044427422443511</v>
      </c>
    </row>
    <row r="107" spans="1:3" x14ac:dyDescent="0.3">
      <c r="A107" t="s">
        <v>150</v>
      </c>
      <c r="B107">
        <v>23</v>
      </c>
      <c r="C107">
        <f t="shared" si="1"/>
        <v>0.44044427422443511</v>
      </c>
    </row>
    <row r="108" spans="1:3" x14ac:dyDescent="0.3">
      <c r="A108" t="s">
        <v>151</v>
      </c>
      <c r="B108">
        <v>23</v>
      </c>
      <c r="C108">
        <f t="shared" si="1"/>
        <v>0.44044427422443511</v>
      </c>
    </row>
    <row r="109" spans="1:3" x14ac:dyDescent="0.3">
      <c r="A109" t="s">
        <v>159</v>
      </c>
      <c r="B109">
        <v>23</v>
      </c>
      <c r="C109">
        <f t="shared" si="1"/>
        <v>0.44044427422443511</v>
      </c>
    </row>
    <row r="110" spans="1:3" x14ac:dyDescent="0.3">
      <c r="A110" t="s">
        <v>162</v>
      </c>
      <c r="B110">
        <v>23</v>
      </c>
      <c r="C110">
        <f t="shared" si="1"/>
        <v>0.44044427422443511</v>
      </c>
    </row>
    <row r="111" spans="1:3" x14ac:dyDescent="0.3">
      <c r="A111" t="s">
        <v>49</v>
      </c>
      <c r="B111">
        <v>20</v>
      </c>
      <c r="C111">
        <f t="shared" si="1"/>
        <v>0.38299502106472616</v>
      </c>
    </row>
    <row r="112" spans="1:3" x14ac:dyDescent="0.3">
      <c r="A112" t="s">
        <v>57</v>
      </c>
      <c r="B112">
        <v>20</v>
      </c>
      <c r="C112">
        <f t="shared" si="1"/>
        <v>0.38299502106472616</v>
      </c>
    </row>
    <row r="113" spans="1:3" x14ac:dyDescent="0.3">
      <c r="A113" t="s">
        <v>60</v>
      </c>
      <c r="B113">
        <v>20</v>
      </c>
      <c r="C113">
        <f t="shared" si="1"/>
        <v>0.38299502106472616</v>
      </c>
    </row>
    <row r="114" spans="1:3" x14ac:dyDescent="0.3">
      <c r="A114" t="s">
        <v>62</v>
      </c>
      <c r="B114">
        <v>20</v>
      </c>
      <c r="C114">
        <f t="shared" si="1"/>
        <v>0.38299502106472616</v>
      </c>
    </row>
    <row r="115" spans="1:3" x14ac:dyDescent="0.3">
      <c r="A115" t="s">
        <v>69</v>
      </c>
      <c r="B115">
        <v>20</v>
      </c>
      <c r="C115">
        <f t="shared" si="1"/>
        <v>0.38299502106472616</v>
      </c>
    </row>
    <row r="116" spans="1:3" x14ac:dyDescent="0.3">
      <c r="A116" t="s">
        <v>79</v>
      </c>
      <c r="B116">
        <v>20</v>
      </c>
      <c r="C116">
        <f t="shared" si="1"/>
        <v>0.38299502106472616</v>
      </c>
    </row>
    <row r="117" spans="1:3" x14ac:dyDescent="0.3">
      <c r="A117" t="s">
        <v>90</v>
      </c>
      <c r="B117">
        <v>20</v>
      </c>
      <c r="C117">
        <f t="shared" si="1"/>
        <v>0.38299502106472616</v>
      </c>
    </row>
    <row r="118" spans="1:3" x14ac:dyDescent="0.3">
      <c r="A118" t="s">
        <v>92</v>
      </c>
      <c r="B118">
        <v>20</v>
      </c>
      <c r="C118">
        <f t="shared" si="1"/>
        <v>0.38299502106472616</v>
      </c>
    </row>
    <row r="119" spans="1:3" x14ac:dyDescent="0.3">
      <c r="A119" t="s">
        <v>93</v>
      </c>
      <c r="B119">
        <v>20</v>
      </c>
      <c r="C119">
        <f t="shared" si="1"/>
        <v>0.38299502106472616</v>
      </c>
    </row>
    <row r="120" spans="1:3" x14ac:dyDescent="0.3">
      <c r="A120" t="s">
        <v>98</v>
      </c>
      <c r="B120">
        <v>20</v>
      </c>
      <c r="C120">
        <f t="shared" si="1"/>
        <v>0.38299502106472616</v>
      </c>
    </row>
    <row r="121" spans="1:3" x14ac:dyDescent="0.3">
      <c r="A121" t="s">
        <v>101</v>
      </c>
      <c r="B121">
        <v>20</v>
      </c>
      <c r="C121">
        <f t="shared" si="1"/>
        <v>0.38299502106472616</v>
      </c>
    </row>
    <row r="122" spans="1:3" x14ac:dyDescent="0.3">
      <c r="A122" t="s">
        <v>102</v>
      </c>
      <c r="B122">
        <v>20</v>
      </c>
      <c r="C122">
        <f t="shared" si="1"/>
        <v>0.38299502106472616</v>
      </c>
    </row>
    <row r="123" spans="1:3" x14ac:dyDescent="0.3">
      <c r="A123" t="s">
        <v>103</v>
      </c>
      <c r="B123">
        <v>20</v>
      </c>
      <c r="C123">
        <f t="shared" si="1"/>
        <v>0.38299502106472616</v>
      </c>
    </row>
    <row r="124" spans="1:3" x14ac:dyDescent="0.3">
      <c r="A124" t="s">
        <v>105</v>
      </c>
      <c r="B124">
        <v>20</v>
      </c>
      <c r="C124">
        <f t="shared" si="1"/>
        <v>0.38299502106472616</v>
      </c>
    </row>
    <row r="125" spans="1:3" x14ac:dyDescent="0.3">
      <c r="A125" t="s">
        <v>111</v>
      </c>
      <c r="B125">
        <v>20</v>
      </c>
      <c r="C125">
        <f t="shared" si="1"/>
        <v>0.38299502106472616</v>
      </c>
    </row>
    <row r="126" spans="1:3" x14ac:dyDescent="0.3">
      <c r="A126" t="s">
        <v>115</v>
      </c>
      <c r="B126">
        <v>20</v>
      </c>
      <c r="C126">
        <f t="shared" si="1"/>
        <v>0.38299502106472616</v>
      </c>
    </row>
    <row r="127" spans="1:3" x14ac:dyDescent="0.3">
      <c r="A127" t="s">
        <v>132</v>
      </c>
      <c r="B127">
        <v>20</v>
      </c>
      <c r="C127">
        <f t="shared" si="1"/>
        <v>0.38299502106472616</v>
      </c>
    </row>
    <row r="128" spans="1:3" x14ac:dyDescent="0.3">
      <c r="A128" t="s">
        <v>146</v>
      </c>
      <c r="B128">
        <v>20</v>
      </c>
      <c r="C128">
        <f t="shared" si="1"/>
        <v>0.38299502106472616</v>
      </c>
    </row>
    <row r="129" spans="1:3" x14ac:dyDescent="0.3">
      <c r="A129" t="s">
        <v>148</v>
      </c>
      <c r="B129">
        <v>20</v>
      </c>
      <c r="C129">
        <f t="shared" si="1"/>
        <v>0.38299502106472616</v>
      </c>
    </row>
    <row r="130" spans="1:3" x14ac:dyDescent="0.3">
      <c r="A130" t="s">
        <v>155</v>
      </c>
      <c r="B130">
        <v>20</v>
      </c>
      <c r="C130">
        <f t="shared" si="1"/>
        <v>0.38299502106472616</v>
      </c>
    </row>
    <row r="131" spans="1:3" x14ac:dyDescent="0.3">
      <c r="A131" t="s">
        <v>156</v>
      </c>
      <c r="B131">
        <v>20</v>
      </c>
      <c r="C131">
        <f t="shared" ref="C131" si="2">B131*100/$B$132</f>
        <v>0.38299502106472616</v>
      </c>
    </row>
    <row r="132" spans="1:3" x14ac:dyDescent="0.3">
      <c r="B132">
        <f>SUM(B2:B131)</f>
        <v>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Optimal Parameters Search</vt:lpstr>
      <vt:lpstr>Performance per test set</vt:lpstr>
      <vt:lpstr>Google Performance</vt:lpstr>
      <vt:lpstr>Corr of Performance with SNR</vt:lpstr>
      <vt:lpstr>Words coverage in comments</vt:lpstr>
      <vt:lpstr>Most imp. words in ineff. comm.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Gianpaolo Coro</dc:creator>
  <cp:lastModifiedBy>Gianpaolo Coro</cp:lastModifiedBy>
  <dcterms:created xsi:type="dcterms:W3CDTF">2019-07-16T21:54:42Z</dcterms:created>
  <dcterms:modified xsi:type="dcterms:W3CDTF">2021-07-19T17:48:06Z</dcterms:modified>
</cp:coreProperties>
</file>